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rianecardoso\Downloads\"/>
    </mc:Choice>
  </mc:AlternateContent>
  <xr:revisionPtr revIDLastSave="0" documentId="13_ncr:1_{FC6DD870-076F-44A9-921D-0BF83816F961}" xr6:coauthVersionLast="47" xr6:coauthVersionMax="47" xr10:uidLastSave="{00000000-0000-0000-0000-000000000000}"/>
  <bookViews>
    <workbookView xWindow="-108" yWindow="-108" windowWidth="23256" windowHeight="12456" xr2:uid="{00000000-000D-0000-FFFF-FFFF00000000}"/>
  </bookViews>
  <sheets>
    <sheet name="Cronograma 90 Dias (Intensivo)" sheetId="1" r:id="rId1"/>
    <sheet name="Painel &amp; Raio-X TRT-4" sheetId="2" r:id="rId2"/>
  </sheets>
  <calcPr calcId="181029"/>
</workbook>
</file>

<file path=xl/calcChain.xml><?xml version="1.0" encoding="utf-8"?>
<calcChain xmlns="http://schemas.openxmlformats.org/spreadsheetml/2006/main">
  <c r="C5" i="2" l="1"/>
  <c r="B5" i="2"/>
  <c r="D5" i="2" s="1"/>
  <c r="A5" i="2"/>
</calcChain>
</file>

<file path=xl/sharedStrings.xml><?xml version="1.0" encoding="utf-8"?>
<sst xmlns="http://schemas.openxmlformats.org/spreadsheetml/2006/main" count="1144" uniqueCount="629">
  <si>
    <t>Dia</t>
  </si>
  <si>
    <t>Data</t>
  </si>
  <si>
    <t>Disciplina Principal</t>
  </si>
  <si>
    <t>Conteúdo / Aulas / Leitura Detalhada</t>
  </si>
  <si>
    <t>Tempo PDF</t>
  </si>
  <si>
    <t>Tempo Vídeo/Questões</t>
  </si>
  <si>
    <t>Tempo Total</t>
  </si>
  <si>
    <t>Relevância (High Yield)</t>
  </si>
  <si>
    <t>Status</t>
  </si>
  <si>
    <t>Revisão R7 (7d)</t>
  </si>
  <si>
    <t>Revisão R14 (14d)</t>
  </si>
  <si>
    <t>Revisão R30 (30d)</t>
  </si>
  <si>
    <t>Anotações / % Acertos</t>
  </si>
  <si>
    <t>Dia 01</t>
  </si>
  <si>
    <t>29/09/2026</t>
  </si>
  <si>
    <t>Língua Portuguesa</t>
  </si>
  <si>
    <t>Leitura PDF + Aulas 01 a 03: Interpretação de Texto, Tipologia/Gênero Textual (Partes 1 e 2) e Ortografia (Prof. Patrick)</t>
  </si>
  <si>
    <t>01h00m</t>
  </si>
  <si>
    <t>02h02m</t>
  </si>
  <si>
    <t>03h02m</t>
  </si>
  <si>
    <t>Altíssima</t>
  </si>
  <si>
    <t>Pendente</t>
  </si>
  <si>
    <t>-</t>
  </si>
  <si>
    <t>Dia 02</t>
  </si>
  <si>
    <t>30/09/2026</t>
  </si>
  <si>
    <t>Português &amp; RLM</t>
  </si>
  <si>
    <t>Leitura PDF + Aula 04 Português (Acentuação Gráfica) + Aula 01 RLM (Conjuntos Numéricos 1 e 2)</t>
  </si>
  <si>
    <t>02h15m</t>
  </si>
  <si>
    <t>03h15m</t>
  </si>
  <si>
    <t>Média</t>
  </si>
  <si>
    <t>Dia 03</t>
  </si>
  <si>
    <t>01/10/2026</t>
  </si>
  <si>
    <t>Raciocínio Lógico-Matemático</t>
  </si>
  <si>
    <t>Leitura PDF + Aula 02 RLM: Operações Básicas (Partes 1, 2 e 3) + Exercícios de Fixação</t>
  </si>
  <si>
    <t>02h16m</t>
  </si>
  <si>
    <t>03h16m</t>
  </si>
  <si>
    <t>Dia 04</t>
  </si>
  <si>
    <t>02/10/2026</t>
  </si>
  <si>
    <t>Leitura PDF + Aulas 03 e 04 RLM: Frações (Partes 1, 2 e 3) e MMC/MDC</t>
  </si>
  <si>
    <t>02h20m</t>
  </si>
  <si>
    <t>03h20m</t>
  </si>
  <si>
    <t>Dia 05</t>
  </si>
  <si>
    <t>03/10/2026</t>
  </si>
  <si>
    <t>Leitura PDF + Aula 05: Pontuação (Funcionalidades + Emprego da Vírgula - Profª. Luana)</t>
  </si>
  <si>
    <t>02h12m</t>
  </si>
  <si>
    <t>03h12m</t>
  </si>
  <si>
    <t>Dia 06</t>
  </si>
  <si>
    <t>04/10/2026</t>
  </si>
  <si>
    <t>Língua Portuguesa &amp; RLM</t>
  </si>
  <si>
    <t>Leitura PDF + Aulas 05 e 06 RLM: Razão, Proporção e Regra de Três Simples</t>
  </si>
  <si>
    <t>02h23m</t>
  </si>
  <si>
    <t>03h23m</t>
  </si>
  <si>
    <t>Dia 07</t>
  </si>
  <si>
    <t>05/10/2026</t>
  </si>
  <si>
    <t>Revisão &amp; Questões (R7/R14)</t>
  </si>
  <si>
    <t>Banco de Questões Semanal 01 + Resolução comentada Português e RLM</t>
  </si>
  <si>
    <t>00h30m</t>
  </si>
  <si>
    <t>02h30m</t>
  </si>
  <si>
    <t>03h00m</t>
  </si>
  <si>
    <t>Dia 08</t>
  </si>
  <si>
    <t>06/10/2026</t>
  </si>
  <si>
    <t>Leitura PDF + Aulas 07 e 08 RLM: Regra de Três Composta e Divisão Proporcional</t>
  </si>
  <si>
    <t>02h17m</t>
  </si>
  <si>
    <t>03h17m</t>
  </si>
  <si>
    <t>R7: Dia 1 (Língua Portuguesa)</t>
  </si>
  <si>
    <t>Dia 09</t>
  </si>
  <si>
    <t>07/10/2026</t>
  </si>
  <si>
    <t>Leitura PDF + Aula 06: Morfologia (Substantivos, Adjetivos, Numerais e Artigos)</t>
  </si>
  <si>
    <t>02h21m</t>
  </si>
  <si>
    <t>03h21m</t>
  </si>
  <si>
    <t>R7: Dia 2 (Português &amp; RLM)</t>
  </si>
  <si>
    <t>Dia 10</t>
  </si>
  <si>
    <t>08/10/2026</t>
  </si>
  <si>
    <t>Leitura PDF + Aula 06: Morfologia (Pronomes Partes I, II e III + Verbos)</t>
  </si>
  <si>
    <t>02h25m</t>
  </si>
  <si>
    <t>03h25m</t>
  </si>
  <si>
    <t>R7: Dia 3 (Raciocínio Lógico-Matemático)</t>
  </si>
  <si>
    <t>Dia 11</t>
  </si>
  <si>
    <t>09/10/2026</t>
  </si>
  <si>
    <t>Leitura PDF + Aula 06 Morfologia (Conjunções, Advérbios) + Aula 09 RLM (Porcentagem 1 e 2)</t>
  </si>
  <si>
    <t>02h28m</t>
  </si>
  <si>
    <t>03h28m</t>
  </si>
  <si>
    <t>R7: Dia 4 (Raciocínio Lógico-Matemático)</t>
  </si>
  <si>
    <t>Dia 12</t>
  </si>
  <si>
    <t>10/10/2026</t>
  </si>
  <si>
    <t>Leitura PDF + Aulas 07 e 08 Português (Vozes Verbais, Flexão) + Aula 10 RLM (Equações 1º Grau)</t>
  </si>
  <si>
    <t>R7: Dia 5 (Língua Portuguesa)</t>
  </si>
  <si>
    <t>Dia 13</t>
  </si>
  <si>
    <t>11/10/2026</t>
  </si>
  <si>
    <t>Leitura PDF + Aulas 11 RLM (Sistemas) e Aulas 01/02 RLM Gustavo (Sentenças e Proposições)</t>
  </si>
  <si>
    <t>R7: Dia 6 (Língua Portuguesa &amp; RLM)</t>
  </si>
  <si>
    <t>Dia 14</t>
  </si>
  <si>
    <t>12/10/2026</t>
  </si>
  <si>
    <t>Banco de Questões Semanal 02 + Redação Discursiva (Profª. Luana Porto)</t>
  </si>
  <si>
    <t>02h40m</t>
  </si>
  <si>
    <t>03h10m</t>
  </si>
  <si>
    <t>R7: Dia 7 (Revisão &amp; Questões (R7/R14))</t>
  </si>
  <si>
    <t>Dia 15</t>
  </si>
  <si>
    <t>13/10/2026</t>
  </si>
  <si>
    <t>Leitura PDF + Aulas 03 e 04 RLM Gustavo: Proposições Compostas e Conectivos (Partes 1 a 4)</t>
  </si>
  <si>
    <t>R7: Dia 8 (Raciocínio Lógico-Matemático)</t>
  </si>
  <si>
    <t>R14: Dia 1 (Língua Portuguesa)</t>
  </si>
  <si>
    <t>Dia 16</t>
  </si>
  <si>
    <t>14/10/2026</t>
  </si>
  <si>
    <t>Leitura PDF + Aulas 04 (Cont.) e 05 RLM: Condicional, Bicondicional e Negações (Partes 1 a 4)</t>
  </si>
  <si>
    <t>R7: Dia 9 (Língua Portuguesa)</t>
  </si>
  <si>
    <t>R14: Dia 2 (Português &amp; RLM)</t>
  </si>
  <si>
    <t>Dia 17</t>
  </si>
  <si>
    <t>15/10/2026</t>
  </si>
  <si>
    <t>Leitura PDF + Aulas 09 e 10: Regência Nominal/Verbal + Crase (Partes I, II e III)</t>
  </si>
  <si>
    <t>R7: Dia 10 (Língua Portuguesa)</t>
  </si>
  <si>
    <t>R14: Dia 3 (Raciocínio Lógico-Matemático)</t>
  </si>
  <si>
    <t>Dia 18</t>
  </si>
  <si>
    <t>16/10/2026</t>
  </si>
  <si>
    <t>Leitura PDF + Aulas 11 e 12: Coesão, Coerência e Concordância Nominal/Verbal</t>
  </si>
  <si>
    <t>R7: Dia 11 (Língua Portuguesa &amp; RLM)</t>
  </si>
  <si>
    <t>R14: Dia 4 (Raciocínio Lógico-Matemático)</t>
  </si>
  <si>
    <t>Dia 19</t>
  </si>
  <si>
    <t>17/10/2026</t>
  </si>
  <si>
    <t>Leitura PDF + Aulas 13 a 15 Português (Morfossintaxe, Reescrita, Figuras) + Álgebra de Proposições</t>
  </si>
  <si>
    <t>R7: Dia 12 (Língua Portuguesa &amp; RLM)</t>
  </si>
  <si>
    <t>R14: Dia 5 (Língua Portuguesa)</t>
  </si>
  <si>
    <t>Dia 20</t>
  </si>
  <si>
    <t>18/10/2026</t>
  </si>
  <si>
    <t>Leitura PDF + Aulas 16 a 18: Tipos de Argumento, Redação Oficial (Padrão Ofício/Atributos)</t>
  </si>
  <si>
    <t>R7: Dia 13 (Raciocínio Lógico-Matemático)</t>
  </si>
  <si>
    <t>R14: Dia 6 (Língua Portuguesa &amp; RLM)</t>
  </si>
  <si>
    <t>Dia 21</t>
  </si>
  <si>
    <t>19/10/2026</t>
  </si>
  <si>
    <t>Revisão &amp; Questões (R7/R14/R30)</t>
  </si>
  <si>
    <t>Banco de Questões Semanal 03 + Simulado Geral focado em Português e RLM</t>
  </si>
  <si>
    <t>R7: Dia 14 (Revisão &amp; Questões (R7/R14))</t>
  </si>
  <si>
    <t>R14: Dia 7 (Revisão &amp; Questões (R7/R14))</t>
  </si>
  <si>
    <t>Dia 22</t>
  </si>
  <si>
    <t>20/10/2026</t>
  </si>
  <si>
    <t>Direito Constitucional</t>
  </si>
  <si>
    <t>Leitura PDF + Aulas 01 a 03: Princípios Fundamentais, Aplicabilidade das Normas e Direitos Individuais</t>
  </si>
  <si>
    <t>R7: Dia 15 (Raciocínio Lógico-Matemático)</t>
  </si>
  <si>
    <t>R14: Dia 8 (Raciocínio Lógico-Matemático)</t>
  </si>
  <si>
    <t>Dia 23</t>
  </si>
  <si>
    <t>21/10/2026</t>
  </si>
  <si>
    <t>Leitura PDF + Aula 03 (Cont.): Direitos Sociais, Nacionalidade, Direitos Políticos e Partidos</t>
  </si>
  <si>
    <t>R7: Dia 16 (Raciocínio Lógico-Matemático)</t>
  </si>
  <si>
    <t>R14: Dia 9 (Língua Portuguesa)</t>
  </si>
  <si>
    <t>Dia 24</t>
  </si>
  <si>
    <t>22/10/2026</t>
  </si>
  <si>
    <t>Leitura PDF + Aula 04: Organização Político-Administrativa do Estado (Partes 01 a 06)</t>
  </si>
  <si>
    <t>Alta</t>
  </si>
  <si>
    <t>R7: Dia 17 (Língua Portuguesa)</t>
  </si>
  <si>
    <t>R14: Dia 10 (Língua Portuguesa)</t>
  </si>
  <si>
    <t>Dia 25</t>
  </si>
  <si>
    <t>23/10/2026</t>
  </si>
  <si>
    <t>Direito do Trabalho (NÚCLEO DURO)</t>
  </si>
  <si>
    <t>Leitura PDF + Aula 01 e 02: Conceito, Fontes, Princípios e Direito Constitucional do Trabalho</t>
  </si>
  <si>
    <t>R7: Dia 18 (Língua Portuguesa)</t>
  </si>
  <si>
    <t>R14: Dia 11 (Língua Portuguesa &amp; RLM)</t>
  </si>
  <si>
    <t>Dia 26</t>
  </si>
  <si>
    <t>24/10/2026</t>
  </si>
  <si>
    <t>Leitura PDF + Aulas 03 e 04: Relação de Trabalho, Empregado/Empregador e Contrato de Trabalho</t>
  </si>
  <si>
    <t>R7: Dia 19 (Língua Portuguesa &amp; RLM)</t>
  </si>
  <si>
    <t>R14: Dia 12 (Língua Portuguesa &amp; RLM)</t>
  </si>
  <si>
    <t>Dia 27</t>
  </si>
  <si>
    <t>25/10/2026</t>
  </si>
  <si>
    <t>Leitura PDF + Aulas 05 e 06: Alteração, Suspensão, Interrupção e Término do Contrato de Trabalho</t>
  </si>
  <si>
    <t>R7: Dia 20 (Língua Portuguesa)</t>
  </si>
  <si>
    <t>R14: Dia 13 (Raciocínio Lógico-Matemático)</t>
  </si>
  <si>
    <t>Dia 28</t>
  </si>
  <si>
    <t>26/10/2026</t>
  </si>
  <si>
    <t>Banco de Questões Semanal 04 + Aula Especial de Direito do Trabalho (Prof. Luiz Henrique)</t>
  </si>
  <si>
    <t>R7: Dia 21 (Revisão &amp; Questões (R7/R14/R30))</t>
  </si>
  <si>
    <t>R14: Dia 14 (Revisão &amp; Questões (R7/R14))</t>
  </si>
  <si>
    <t>Dia 29</t>
  </si>
  <si>
    <t>27/10/2026</t>
  </si>
  <si>
    <t>Direito Constitucional &amp; Adm.</t>
  </si>
  <si>
    <t>Leitura PDF + Lei 8.112/90 (Aula 01): Provimento, Nomeação, Remoção, Vacância e Direitos</t>
  </si>
  <si>
    <t>R7: Dia 22 (Direito Constitucional)</t>
  </si>
  <si>
    <t>R14: Dia 15 (Raciocínio Lógico-Matemático)</t>
  </si>
  <si>
    <t>Dia 30</t>
  </si>
  <si>
    <t>28/10/2026</t>
  </si>
  <si>
    <t>Direito Administrativo</t>
  </si>
  <si>
    <t>Leitura PDF + Lei 8.112/90 (Cont.): Regime Disciplinar, PAD + Lei de Improbidade (Lei 8.429/92)</t>
  </si>
  <si>
    <t>R7: Dia 23 (Direito Constitucional)</t>
  </si>
  <si>
    <t>R14: Dia 16 (Raciocínio Lógico-Matemático)</t>
  </si>
  <si>
    <t>Dia 31</t>
  </si>
  <si>
    <t>29/10/2026</t>
  </si>
  <si>
    <t>Leitura PDF + Aula 03 e 04: Processo Administrativo (Lei 9.784) + Licitações (Lei 14.133/21)</t>
  </si>
  <si>
    <t>R7: Dia 24 (Direito Constitucional)</t>
  </si>
  <si>
    <t>R14: Dia 17 (Língua Portuguesa)</t>
  </si>
  <si>
    <t>R30: Dia 1 (Língua Portuguesa)</t>
  </si>
  <si>
    <t>Dia 32</t>
  </si>
  <si>
    <t>30/10/2026</t>
  </si>
  <si>
    <t>Leitura PDF + Licitações (Cont. Modalidades, Inexigibilidade) + LGPD (Lei 13.709/18)</t>
  </si>
  <si>
    <t>R7: Dia 25 (Direito do Trabalho (NÚCLEO DURO))</t>
  </si>
  <si>
    <t>R14: Dia 18 (Língua Portuguesa)</t>
  </si>
  <si>
    <t>R30: Dia 2 (Português &amp; RLM)</t>
  </si>
  <si>
    <t>Dia 33</t>
  </si>
  <si>
    <t>31/10/2026</t>
  </si>
  <si>
    <t>Legislação Específica &amp; CNJ</t>
  </si>
  <si>
    <t>Leitura PDF + Estatuto da Pessoa com Deficiência (Lei 13.146) + Resolução CNJ 400/2021</t>
  </si>
  <si>
    <t>R7: Dia 26 (Direito do Trabalho (NÚCLEO DURO))</t>
  </si>
  <si>
    <t>R14: Dia 19 (Língua Portuguesa &amp; RLM)</t>
  </si>
  <si>
    <t>R30: Dia 3 (Raciocínio Lógico-Matemático)</t>
  </si>
  <si>
    <t>Dia 34</t>
  </si>
  <si>
    <t>01/11/2026</t>
  </si>
  <si>
    <t>Gestão Pública &amp; Org.</t>
  </si>
  <si>
    <t>Leitura PDF + Organizações Formais, Departamentalização, Gestão Pública x Privada e Princípios</t>
  </si>
  <si>
    <t>R7: Dia 27 (Direito do Trabalho (NÚCLEO DURO))</t>
  </si>
  <si>
    <t>R14: Dia 20 (Língua Portuguesa)</t>
  </si>
  <si>
    <t>R30: Dia 4 (Raciocínio Lógico-Matemático)</t>
  </si>
  <si>
    <t>Dia 35</t>
  </si>
  <si>
    <t>02/11/2026</t>
  </si>
  <si>
    <t>Banco de Questões Semanal 05 + Revisão de Lei Seca (Lei 8.112/90 e Lei 14.133/21)</t>
  </si>
  <si>
    <t>R7: Dia 28 (Revisão &amp; Questões (R7/R14/R30))</t>
  </si>
  <si>
    <t>R14: Dia 21 (Revisão &amp; Questões (R7/R14/R30))</t>
  </si>
  <si>
    <t>R30: Dia 5 (Língua Portuguesa)</t>
  </si>
  <si>
    <t>Dia 36</t>
  </si>
  <si>
    <t>03/11/2026</t>
  </si>
  <si>
    <t>Gestão Pública</t>
  </si>
  <si>
    <t>Leitura PDF + Gestão de Resultados, Comunicação, Redes Organizacionais e Gestão do Desempenho</t>
  </si>
  <si>
    <t>R7: Dia 29 (Direito Constitucional &amp; Adm.)</t>
  </si>
  <si>
    <t>R14: Dia 22 (Direito Constitucional)</t>
  </si>
  <si>
    <t>R30: Dia 6 (Língua Portuguesa &amp; RLM)</t>
  </si>
  <si>
    <t>Dia 37</t>
  </si>
  <si>
    <t>04/11/2026</t>
  </si>
  <si>
    <t>Leitura PDF + Processos Organizacionais, Gestão de Riscos, Excelência nos Serviços e Planejamento</t>
  </si>
  <si>
    <t>R7: Dia 30 (Direito Administrativo)</t>
  </si>
  <si>
    <t>R14: Dia 23 (Direito Constitucional)</t>
  </si>
  <si>
    <t>R30: Dia 7 (Revisão &amp; Questões (R7/R14))</t>
  </si>
  <si>
    <t>Dia 38</t>
  </si>
  <si>
    <t>05/11/2026</t>
  </si>
  <si>
    <t>Gestão de Pessoas &amp; Processos</t>
  </si>
  <si>
    <t>Leitura PDF + Gestão de Pessoas (Partes I a V) + Mapeamento e Análise de Processos</t>
  </si>
  <si>
    <t>R7: Dia 31 (Direito Administrativo)</t>
  </si>
  <si>
    <t>R14: Dia 24 (Direito Constitucional)</t>
  </si>
  <si>
    <t>R30: Dia 8 (Raciocínio Lógico-Matemático)</t>
  </si>
  <si>
    <t>Dia 39</t>
  </si>
  <si>
    <t>06/11/2026</t>
  </si>
  <si>
    <t>Gestão de Projetos &amp; Materiais</t>
  </si>
  <si>
    <t>Leitura PDF + Gestão por Projetos (Partes I a VIII) + Administração de Materiais</t>
  </si>
  <si>
    <t>R7: Dia 32 (Direito Administrativo)</t>
  </si>
  <si>
    <t>R14: Dia 25 (Direito do Trabalho (NÚCLEO DURO))</t>
  </si>
  <si>
    <t>R30: Dia 9 (Língua Portuguesa)</t>
  </si>
  <si>
    <t>Dia 40</t>
  </si>
  <si>
    <t>07/11/2026</t>
  </si>
  <si>
    <t>Leitura PDF + Poder Executivo e Poder Legislativo (Estrutura, Processo Legislativo e Fiscalização)</t>
  </si>
  <si>
    <t>R7: Dia 33 (Legislação Específica &amp; CNJ)</t>
  </si>
  <si>
    <t>R14: Dia 26 (Direito do Trabalho (NÚCLEO DURO))</t>
  </si>
  <si>
    <t>R30: Dia 10 (Língua Portuguesa)</t>
  </si>
  <si>
    <t>Dia 41</t>
  </si>
  <si>
    <t>08/11/2026</t>
  </si>
  <si>
    <t>Direito Constitucional (PODER JUD.)</t>
  </si>
  <si>
    <t>Leitura PDF + Poder Judiciário (Art. 92 a 126 CF/88): STF, STJ, TST e TRTs - Estrutura e Garantias</t>
  </si>
  <si>
    <t>R7: Dia 34 (Gestão Pública &amp; Org.)</t>
  </si>
  <si>
    <t>R14: Dia 27 (Direito do Trabalho (NÚCLEO DURO))</t>
  </si>
  <si>
    <t>R30: Dia 11 (Língua Portuguesa &amp; RLM)</t>
  </si>
  <si>
    <t>Dia 42</t>
  </si>
  <si>
    <t>09/11/2026</t>
  </si>
  <si>
    <t>Banco de Questões Semanal 06 + Simulado Focado em Direito Constitucional e Adm.</t>
  </si>
  <si>
    <t>R7: Dia 35 (Revisão &amp; Questões (R7/R14/R30))</t>
  </si>
  <si>
    <t>R14: Dia 28 (Revisão &amp; Questões (R7/R14/R30))</t>
  </si>
  <si>
    <t>R30: Dia 12 (Língua Portuguesa &amp; RLM)</t>
  </si>
  <si>
    <t>Dia 43</t>
  </si>
  <si>
    <t>10/11/2026</t>
  </si>
  <si>
    <t>Leitura PDF + Aulas 07 e 08: Estabilidade, FGTS e Jornada de Trabalho (Horas Extras, Intervalos)</t>
  </si>
  <si>
    <t>R7: Dia 36 (Gestão Pública)</t>
  </si>
  <si>
    <t>R14: Dia 29 (Direito Constitucional &amp; Adm.)</t>
  </si>
  <si>
    <t>R30: Dia 13 (Raciocínio Lógico-Matemático)</t>
  </si>
  <si>
    <t>Dia 44</t>
  </si>
  <si>
    <t>11/11/2026</t>
  </si>
  <si>
    <t>Leitura PDF + Aula 09: Remuneração e Salário (Gorjetas, In Natura, Equiparação Salarial)</t>
  </si>
  <si>
    <t>R7: Dia 37 (Gestão Pública)</t>
  </si>
  <si>
    <t>R14: Dia 30 (Direito Administrativo)</t>
  </si>
  <si>
    <t>R30: Dia 14 (Revisão &amp; Questões (R7/R14))</t>
  </si>
  <si>
    <t>Dia 45</t>
  </si>
  <si>
    <t>12/11/2026</t>
  </si>
  <si>
    <t>Direito do Trabalho</t>
  </si>
  <si>
    <t>Leitura PDF + Aulas 10 a 12: Prescrição/Decadência, Segurança do Trabalho e Proteção à Mulher</t>
  </si>
  <si>
    <t>R7: Dia 38 (Gestão de Pessoas &amp; Processos)</t>
  </si>
  <si>
    <t>R14: Dia 31 (Direito Administrativo)</t>
  </si>
  <si>
    <t>R30: Dia 15 (Raciocínio Lógico-Matemático)</t>
  </si>
  <si>
    <t>Dia 46</t>
  </si>
  <si>
    <t>13/11/2026</t>
  </si>
  <si>
    <t>Direito Coletivo &amp; Greve</t>
  </si>
  <si>
    <t>Leitura PDF + Aulas 13 a 18: Direito Coletivo, Sindicatos, Greve, Dano Extrapatrimonial e Súmulas STF</t>
  </si>
  <si>
    <t>R7: Dia 39 (Gestão de Projetos &amp; Materiais)</t>
  </si>
  <si>
    <t>R14: Dia 32 (Direito Administrativo)</t>
  </si>
  <si>
    <t>R30: Dia 16 (Raciocínio Lógico-Matemático)</t>
  </si>
  <si>
    <t>Dia 47</t>
  </si>
  <si>
    <t>14/11/2026</t>
  </si>
  <si>
    <t>AFO (Orçamento Público)</t>
  </si>
  <si>
    <t>Leitura PDF + Aulas 01 a 03 AFO: Conceito, Princípios, Ciclo Orçamentário, PPA, LDO e LOA</t>
  </si>
  <si>
    <t>R7: Dia 40 (Direito Constitucional)</t>
  </si>
  <si>
    <t>R14: Dia 33 (Legislação Específica &amp; CNJ)</t>
  </si>
  <si>
    <t>R30: Dia 17 (Língua Portuguesa)</t>
  </si>
  <si>
    <t>Dia 48</t>
  </si>
  <si>
    <t>15/11/2026</t>
  </si>
  <si>
    <t>AFO (Receita e Despesa)</t>
  </si>
  <si>
    <t>Leitura PDF + Aulas 04 e 05 AFO: Receita Pública, Despesa Pública (Estágios e Classificação)</t>
  </si>
  <si>
    <t>R7: Dia 41 (Direito Constitucional (PODER JUD.))</t>
  </si>
  <si>
    <t>R14: Dia 34 (Gestão Pública &amp; Org.)</t>
  </si>
  <si>
    <t>R30: Dia 18 (Língua Portuguesa)</t>
  </si>
  <si>
    <t>Dia 49</t>
  </si>
  <si>
    <t>16/11/2026</t>
  </si>
  <si>
    <t>Banco de Questões Semanal 07 + Treino Intensivo de Questões de Direito do Trabalho</t>
  </si>
  <si>
    <t>R7: Dia 42 (Revisão &amp; Questões (R7/R14/R30))</t>
  </si>
  <si>
    <t>R14: Dia 35 (Revisão &amp; Questões (R7/R14/R30))</t>
  </si>
  <si>
    <t>R30: Dia 19 (Língua Portuguesa &amp; RLM)</t>
  </si>
  <si>
    <t>Dia 50</t>
  </si>
  <si>
    <t>17/11/2026</t>
  </si>
  <si>
    <t>Gestão de Recursos Materiais</t>
  </si>
  <si>
    <t>Leitura PDF + Administração de Materiais (Partes I a VIII): Estoques, Inventário e Compras</t>
  </si>
  <si>
    <t>R7: Dia 43 (Direito do Trabalho (NÚCLEO DURO))</t>
  </si>
  <si>
    <t>R14: Dia 36 (Gestão Pública)</t>
  </si>
  <si>
    <t>R30: Dia 20 (Língua Portuguesa)</t>
  </si>
  <si>
    <t>Dia 51</t>
  </si>
  <si>
    <t>18/11/2026</t>
  </si>
  <si>
    <t>Gestão da Qualidade &amp; LAI</t>
  </si>
  <si>
    <t>Leitura PDF + Gestão da Qualidade + Lei de Acesso à Informação (Lei 12.527/11 e LC 131/09)</t>
  </si>
  <si>
    <t>R7: Dia 44 (Direito do Trabalho (NÚCLEO DURO))</t>
  </si>
  <si>
    <t>R14: Dia 37 (Gestão Pública)</t>
  </si>
  <si>
    <t>R30: Dia 21 (Revisão &amp; Questões (R7/R14/R30))</t>
  </si>
  <si>
    <t>Dia 52</t>
  </si>
  <si>
    <t>19/11/2026</t>
  </si>
  <si>
    <t>Direito Proc. Trabalho (NÚCLEO)</t>
  </si>
  <si>
    <t>Leitura PDF + Aula 01: Organização e Competência da Justiça do Trabalho (Art. 114 CF/88)</t>
  </si>
  <si>
    <t>R7: Dia 45 (Direito do Trabalho)</t>
  </si>
  <si>
    <t>R14: Dia 38 (Gestão de Pessoas &amp; Processos)</t>
  </si>
  <si>
    <t>R30: Dia 22 (Direito Constitucional)</t>
  </si>
  <si>
    <t>Dia 53</t>
  </si>
  <si>
    <t>20/11/2026</t>
  </si>
  <si>
    <t>Leitura PDF + Aulas 02 a 05: Serviços Auxiliares, Custas, Honorários, MPT e Princípios do PJT</t>
  </si>
  <si>
    <t>R7: Dia 46 (Direito Coletivo &amp; Greve)</t>
  </si>
  <si>
    <t>R14: Dia 39 (Gestão de Projetos &amp; Materiais)</t>
  </si>
  <si>
    <t>R30: Dia 23 (Direito Constitucional)</t>
  </si>
  <si>
    <t>Dia 54</t>
  </si>
  <si>
    <t>21/11/2026</t>
  </si>
  <si>
    <t>Leitura PDF + Aulas 06 a 08: Prescrição Intercorrente, Atos Processuais, Prazos e Valor da Causa</t>
  </si>
  <si>
    <t>R7: Dia 47 (AFO (Orçamento Público))</t>
  </si>
  <si>
    <t>R14: Dia 40 (Direito Constitucional)</t>
  </si>
  <si>
    <t>R30: Dia 24 (Direito Constitucional)</t>
  </si>
  <si>
    <t>Dia 55</t>
  </si>
  <si>
    <t>22/11/2026</t>
  </si>
  <si>
    <t>Leitura PDF + Aulas 09 a 11: Partes e Procuradores, IDPJ e Ritos Processuais (Sumaríssimo)</t>
  </si>
  <si>
    <t>R7: Dia 48 (AFO (Receita e Despesa))</t>
  </si>
  <si>
    <t>R14: Dia 41 (Direito Constitucional (PODER JUD.))</t>
  </si>
  <si>
    <t>R30: Dia 25 (Direito do Trabalho (NÚCLEO DURO))</t>
  </si>
  <si>
    <t>Dia 56</t>
  </si>
  <si>
    <t>23/11/2026</t>
  </si>
  <si>
    <t>Banco de Questões Semanal 08 + Aula Especial de Processo do Trabalho (Profª. Cleize)</t>
  </si>
  <si>
    <t>R7: Dia 49 (Revisão &amp; Questões (R7/R14/R30))</t>
  </si>
  <si>
    <t>R14: Dia 42 (Revisão &amp; Questões (R7/R14/R30))</t>
  </si>
  <si>
    <t>R30: Dia 26 (Direito do Trabalho (NÚCLEO DURO))</t>
  </si>
  <si>
    <t>Dia 57</t>
  </si>
  <si>
    <t>24/11/2026</t>
  </si>
  <si>
    <t>Leitura PDF + Aulas 12 a 14: Audiência Trabalhista (Revelia, Conciliação), Provas e Sentença</t>
  </si>
  <si>
    <t>R7: Dia 50 (Gestão de Recursos Materiais)</t>
  </si>
  <si>
    <t>R14: Dia 43 (Direito do Trabalho (NÚCLEO DURO))</t>
  </si>
  <si>
    <t>R30: Dia 27 (Direito do Trabalho (NÚCLEO DURO))</t>
  </si>
  <si>
    <t>Dia 58</t>
  </si>
  <si>
    <t>25/11/2026</t>
  </si>
  <si>
    <t>Leitura PDF + Aula 16: Execução Trabalhista (Liquidação, Penhora, Embargos à Execução)</t>
  </si>
  <si>
    <t>R7: Dia 51 (Gestão da Qualidade &amp; LAI)</t>
  </si>
  <si>
    <t>R14: Dia 44 (Direito do Trabalho (NÚCLEO DURO))</t>
  </si>
  <si>
    <t>R30: Dia 28 (Revisão &amp; Questões (R7/R14/R30))</t>
  </si>
  <si>
    <t>Dia 59</t>
  </si>
  <si>
    <t>26/11/2026</t>
  </si>
  <si>
    <t>Leitura PDF + Aula 17: Recursos em Espécie (Recurso Ordinário, Agravo de Petição, Recurso de Revista)</t>
  </si>
  <si>
    <t>03h30m</t>
  </si>
  <si>
    <t>R7: Dia 52 (Direito Proc. Trabalho (NÚCLEO))</t>
  </si>
  <si>
    <t>R14: Dia 45 (Direito do Trabalho)</t>
  </si>
  <si>
    <t>R30: Dia 29 (Direito Constitucional &amp; Adm.)</t>
  </si>
  <si>
    <t>Dia 60</t>
  </si>
  <si>
    <t>27/11/2026</t>
  </si>
  <si>
    <t>Direito Proc. Trabalho</t>
  </si>
  <si>
    <t>Leitura PDF + Aulas 18 a 21: PJe (Lei 11.419), Instruções Normativas TST e Acordo Extrajudicial</t>
  </si>
  <si>
    <t>R7: Dia 53 (Direito Proc. Trabalho (NÚCLEO))</t>
  </si>
  <si>
    <t>R14: Dia 46 (Direito Coletivo &amp; Greve)</t>
  </si>
  <si>
    <t>R30: Dia 30 (Direito Administrativo)</t>
  </si>
  <si>
    <t>Dia 61</t>
  </si>
  <si>
    <t>28/11/2026</t>
  </si>
  <si>
    <t>Ética no Serviço Público</t>
  </si>
  <si>
    <t>Leitura PDF + Ética, Moral, Código de Ética (Dec. 1.171/94) e Gestão da Ética (Dec. 6.029/07)</t>
  </si>
  <si>
    <t>02h10m</t>
  </si>
  <si>
    <t>R7: Dia 54 (Direito Proc. Trabalho (NÚCLEO))</t>
  </si>
  <si>
    <t>R14: Dia 47 (AFO (Orçamento Público))</t>
  </si>
  <si>
    <t>R30: Dia 31 (Direito Administrativo)</t>
  </si>
  <si>
    <t>Dia 62</t>
  </si>
  <si>
    <t>29/11/2026</t>
  </si>
  <si>
    <t>Língua Portuguesa (REFORÇO)</t>
  </si>
  <si>
    <t>Revisão focada dos tópicos fracos: Crase, Vírgula, Regência e Concordância + 30 Questões</t>
  </si>
  <si>
    <t>R7: Dia 55 (Direito Proc. Trabalho (NÚCLEO))</t>
  </si>
  <si>
    <t>R14: Dia 48 (AFO (Receita e Despesa))</t>
  </si>
  <si>
    <t>R30: Dia 32 (Direito Administrativo)</t>
  </si>
  <si>
    <t>Dia 63</t>
  </si>
  <si>
    <t>30/11/2026</t>
  </si>
  <si>
    <t>Banco de Questões Semanal 09 + Simulado Global TRT-4 (Conhecimentos Gerais e Específicos)</t>
  </si>
  <si>
    <t>R7: Dia 56 (Revisão &amp; Questões (R7/R14/R30))</t>
  </si>
  <si>
    <t>R14: Dia 49 (Revisão &amp; Questões (R7/R14/R30))</t>
  </si>
  <si>
    <t>R30: Dia 33 (Legislação Específica &amp; CNJ)</t>
  </si>
  <si>
    <t>Dia 64</t>
  </si>
  <si>
    <t>01/12/2026</t>
  </si>
  <si>
    <t>Direito do Trabalho (REVISE SECA)</t>
  </si>
  <si>
    <t>Leitura Integral da CLT: Arts. 2º a 11 (Geral), 130 a 145 (Férias) e 442 a 510 (Contratos/Rescisão)</t>
  </si>
  <si>
    <t>01h30m</t>
  </si>
  <si>
    <t>R7: Dia 57 (Direito Proc. Trabalho (NÚCLEO))</t>
  </si>
  <si>
    <t>R14: Dia 50 (Gestão de Recursos Materiais)</t>
  </si>
  <si>
    <t>R30: Dia 34 (Gestão Pública &amp; Org.)</t>
  </si>
  <si>
    <t>Dia 65</t>
  </si>
  <si>
    <t>02/12/2026</t>
  </si>
  <si>
    <t>Direito Proc. Trabalho (REVISE SECA)</t>
  </si>
  <si>
    <t>Leitura Integral da CLT: Arts. 763 a 836 (Procedimentos/Audiência) e 876 a 892 (Execução)</t>
  </si>
  <si>
    <t>R7: Dia 58 (Direito Proc. Trabalho (NÚCLEO))</t>
  </si>
  <si>
    <t>R14: Dia 51 (Gestão da Qualidade &amp; LAI)</t>
  </si>
  <si>
    <t>R30: Dia 35 (Revisão &amp; Questões (R7/R14/R30))</t>
  </si>
  <si>
    <t>Dia 66</t>
  </si>
  <si>
    <t>03/12/2026</t>
  </si>
  <si>
    <t>Direito Constitucional (LEI SECA)</t>
  </si>
  <si>
    <t>Leitura Integral CF/88: Art. 5º (Direitos e Deveres), Art. 37 a 41 (Adm. Pública) e 111 a 116 (TRTs)</t>
  </si>
  <si>
    <t>R7: Dia 59 (Direito Proc. Trabalho (NÚCLEO))</t>
  </si>
  <si>
    <t>R14: Dia 52 (Direito Proc. Trabalho (NÚCLEO))</t>
  </si>
  <si>
    <t>R30: Dia 36 (Gestão Pública)</t>
  </si>
  <si>
    <t>Dia 67</t>
  </si>
  <si>
    <t>04/12/2026</t>
  </si>
  <si>
    <t>Direito Administrativo (LEI SECA)</t>
  </si>
  <si>
    <t>Leitura Integral da Lei 8.112/90 (Direitos, Deveres, PAD) + Lei 14.133/21 (Contratação Direta)</t>
  </si>
  <si>
    <t>R7: Dia 60 (Direito Proc. Trabalho)</t>
  </si>
  <si>
    <t>R14: Dia 53 (Direito Proc. Trabalho (NÚCLEO))</t>
  </si>
  <si>
    <t>R30: Dia 37 (Gestão Pública)</t>
  </si>
  <si>
    <t>Dia 68</t>
  </si>
  <si>
    <t>05/12/2026</t>
  </si>
  <si>
    <t>Português (EXERCÍCIOS BANCA)</t>
  </si>
  <si>
    <t>Resolução Intensiva de 50 Questões da Banca de Português (FCC / Cebraspe)</t>
  </si>
  <si>
    <t>R7: Dia 61 (Ética no Serviço Público)</t>
  </si>
  <si>
    <t>R14: Dia 54 (Direito Proc. Trabalho (NÚCLEO))</t>
  </si>
  <si>
    <t>R30: Dia 38 (Gestão de Pessoas &amp; Processos)</t>
  </si>
  <si>
    <t>Dia 69</t>
  </si>
  <si>
    <t>06/12/2026</t>
  </si>
  <si>
    <t>RLM (EXERCÍCIOS BANCA)</t>
  </si>
  <si>
    <t>Resolução Intensiva de 40 Questões de RLM (Lógica de Proposições e Porcentagem)</t>
  </si>
  <si>
    <t>R7: Dia 62 (Língua Portuguesa (REFORÇO))</t>
  </si>
  <si>
    <t>R14: Dia 55 (Direito Proc. Trabalho (NÚCLEO))</t>
  </si>
  <si>
    <t>R30: Dia 39 (Gestão de Projetos &amp; Materiais)</t>
  </si>
  <si>
    <t>Dia 70</t>
  </si>
  <si>
    <t>07/12/2026</t>
  </si>
  <si>
    <t>Simulado Completo Pré-Edital TRT-4 + Análise de Desempenho e Erros</t>
  </si>
  <si>
    <t>R7: Dia 63 (Revisão &amp; Questões (R7/R14/R30))</t>
  </si>
  <si>
    <t>R14: Dia 56 (Revisão &amp; Questões (R7/R14/R30))</t>
  </si>
  <si>
    <t>R30: Dia 40 (Direito Constitucional)</t>
  </si>
  <si>
    <t>Dia 71</t>
  </si>
  <si>
    <t>08/12/2026</t>
  </si>
  <si>
    <t>Direito do Trabalho (QUESTÕES)</t>
  </si>
  <si>
    <t>Bateria de 60 Questões: Contrato de Trabalho, Rescisão, Salário e Jornada</t>
  </si>
  <si>
    <t>R7: Dia 64 (Direito do Trabalho (REVISE SECA))</t>
  </si>
  <si>
    <t>R14: Dia 57 (Direito Proc. Trabalho (NÚCLEO))</t>
  </si>
  <si>
    <t>R30: Dia 41 (Direito Constitucional (PODER JUD.))</t>
  </si>
  <si>
    <t>Dia 72</t>
  </si>
  <si>
    <t>09/12/2026</t>
  </si>
  <si>
    <t>Direito Proc. Trabalho (QUESTÕES)</t>
  </si>
  <si>
    <t>Bateria de 60 Questões: Competência, Audiência, Provas, Recursos e Execução</t>
  </si>
  <si>
    <t>R7: Dia 65 (Direito Proc. Trabalho (REVISE SECA))</t>
  </si>
  <si>
    <t>R14: Dia 58 (Direito Proc. Trabalho (NÚCLEO))</t>
  </si>
  <si>
    <t>R30: Dia 42 (Revisão &amp; Questões (R7/R14/R30))</t>
  </si>
  <si>
    <t>Dia 73</t>
  </si>
  <si>
    <t>10/12/2026</t>
  </si>
  <si>
    <t>Direito Constitucional (QUESTÕES)</t>
  </si>
  <si>
    <t>Bateria de 50 Questões: Direitos Fundamentais, Organização do Estado e Poder Judiciário</t>
  </si>
  <si>
    <t>R7: Dia 66 (Direito Constitucional (LEI SECA))</t>
  </si>
  <si>
    <t>R14: Dia 59 (Direito Proc. Trabalho (NÚCLEO))</t>
  </si>
  <si>
    <t>R30: Dia 43 (Direito do Trabalho (NÚCLEO DURO))</t>
  </si>
  <si>
    <t>Dia 74</t>
  </si>
  <si>
    <t>11/12/2026</t>
  </si>
  <si>
    <t>Direito Administrativo (QUESTÕES)</t>
  </si>
  <si>
    <t>Bateria de 50 Questões: Servidores (8.112), Licitações (14.133) e Improbidade (8.429)</t>
  </si>
  <si>
    <t>R7: Dia 67 (Direito Administrativo (LEI SECA))</t>
  </si>
  <si>
    <t>R14: Dia 60 (Direito Proc. Trabalho)</t>
  </si>
  <si>
    <t>R30: Dia 44 (Direito do Trabalho (NÚCLEO DURO))</t>
  </si>
  <si>
    <t>Dia 75</t>
  </si>
  <si>
    <t>12/12/2026</t>
  </si>
  <si>
    <t>Gestão Pública &amp; AFO (QUESTÕES)</t>
  </si>
  <si>
    <t>Bateria de 40 Questões: Gestão de Processos, Pessoas, Projetos e Orçamento Público</t>
  </si>
  <si>
    <t>02h45m</t>
  </si>
  <si>
    <t>R7: Dia 68 (Português (EXERCÍCIOS BANCA))</t>
  </si>
  <si>
    <t>R14: Dia 61 (Ética no Serviço Público)</t>
  </si>
  <si>
    <t>R30: Dia 45 (Direito do Trabalho)</t>
  </si>
  <si>
    <t>Dia 76</t>
  </si>
  <si>
    <t>13/12/2026</t>
  </si>
  <si>
    <t>Treino Discursivo / Redação</t>
  </si>
  <si>
    <t>Redação Completa sobre tema atual de Direito do Trabalho / Gestão Pública + Espelho de Correção</t>
  </si>
  <si>
    <t>R7: Dia 69 (RLM (EXERCÍCIOS BANCA))</t>
  </si>
  <si>
    <t>R14: Dia 62 (Língua Portuguesa (REFORÇO))</t>
  </si>
  <si>
    <t>R30: Dia 46 (Direito Coletivo &amp; Greve)</t>
  </si>
  <si>
    <t>Dia 77</t>
  </si>
  <si>
    <t>14/12/2026</t>
  </si>
  <si>
    <t>Simulado Geral de Reta Final 01 + Caderno de Erros</t>
  </si>
  <si>
    <t>R7: Dia 70 (Revisão &amp; Questões (R7/R14/R30))</t>
  </si>
  <si>
    <t>R14: Dia 63 (Revisão &amp; Questões (R7/R14/R30))</t>
  </si>
  <si>
    <t>R30: Dia 47 (AFO (Orçamento Público))</t>
  </si>
  <si>
    <t>Dia 78</t>
  </si>
  <si>
    <t>15/12/2026</t>
  </si>
  <si>
    <t>Súmulas e OJs TST (ALTÍSSIMA RELEVÂNCIA)</t>
  </si>
  <si>
    <t>Revisão das Principais Súmulas e OJs do TST (Jornada, Equiparação, Rescisão e Execução)</t>
  </si>
  <si>
    <t>R7: Dia 71 (Direito do Trabalho (QUESTÕES))</t>
  </si>
  <si>
    <t>R14: Dia 64 (Direito do Trabalho (REVISE SECA))</t>
  </si>
  <si>
    <t>R30: Dia 48 (AFO (Receita e Despesa))</t>
  </si>
  <si>
    <t>Dia 79</t>
  </si>
  <si>
    <t>16/12/2026</t>
  </si>
  <si>
    <t>Jurisprudência &amp; Informativos</t>
  </si>
  <si>
    <t>Leitura dos Principais Informativos e Jurisprudência Consolidada do TST e STF para TRT</t>
  </si>
  <si>
    <t>R7: Dia 72 (Direito Proc. Trabalho (QUESTÕES))</t>
  </si>
  <si>
    <t>R14: Dia 65 (Direito Proc. Trabalho (REVISE SECA))</t>
  </si>
  <si>
    <t>R30: Dia 49 (Revisão &amp; Questões (R7/R14/R30))</t>
  </si>
  <si>
    <t>Dia 80</t>
  </si>
  <si>
    <t>17/12/2026</t>
  </si>
  <si>
    <t>Reta Final: Direito do Trabalho</t>
  </si>
  <si>
    <t>Revisão SuperIntensiva: Pontos Chave de Direito do Trabalho + 30 Questões Rápidas</t>
  </si>
  <si>
    <t>02h00m</t>
  </si>
  <si>
    <t>R7: Dia 73 (Direito Constitucional (QUESTÕES))</t>
  </si>
  <si>
    <t>R14: Dia 66 (Direito Constitucional (LEI SECA))</t>
  </si>
  <si>
    <t>R30: Dia 50 (Gestão de Recursos Materiais)</t>
  </si>
  <si>
    <t>Dia 81</t>
  </si>
  <si>
    <t>18/12/2026</t>
  </si>
  <si>
    <t>Reta Final: Processo do Trabalho</t>
  </si>
  <si>
    <t>Revisão SuperIntensiva: Pontos Chave de Processo do Trabalho + 30 Questões Rápidas</t>
  </si>
  <si>
    <t>R7: Dia 74 (Direito Administrativo (QUESTÕES))</t>
  </si>
  <si>
    <t>R14: Dia 67 (Direito Administrativo (LEI SECA))</t>
  </si>
  <si>
    <t>R30: Dia 51 (Gestão da Qualidade &amp; LAI)</t>
  </si>
  <si>
    <t>Dia 82</t>
  </si>
  <si>
    <t>19/12/2026</t>
  </si>
  <si>
    <t>Reta Final: Língua Portuguesa</t>
  </si>
  <si>
    <t>Revisão de Véspera Português: Pegadinhas da Banca, Vírgula, Crase e Concordância</t>
  </si>
  <si>
    <t>R7: Dia 75 (Gestão Pública &amp; AFO (QUESTÕES))</t>
  </si>
  <si>
    <t>R14: Dia 68 (Português (EXERCÍCIOS BANCA))</t>
  </si>
  <si>
    <t>R30: Dia 52 (Direito Proc. Trabalho (NÚCLEO))</t>
  </si>
  <si>
    <t>Dia 83</t>
  </si>
  <si>
    <t>20/12/2026</t>
  </si>
  <si>
    <t>Reta Final: Constitucional &amp; Adm.</t>
  </si>
  <si>
    <t>Revisão SuperIntensiva: CF/88, Lei 8.112/90, Licitações e Improbidade</t>
  </si>
  <si>
    <t>R7: Dia 76 (Treino Discursivo / Redação)</t>
  </si>
  <si>
    <t>R14: Dia 69 (RLM (EXERCÍCIOS BANCA))</t>
  </si>
  <si>
    <t>R30: Dia 53 (Direito Proc. Trabalho (NÚCLEO))</t>
  </si>
  <si>
    <t>Dia 84</t>
  </si>
  <si>
    <t>21/12/2026</t>
  </si>
  <si>
    <t>Simulado Geral de Reta Final 02 + Ajustes Finais no Caderno de Erros</t>
  </si>
  <si>
    <t>R7: Dia 77 (Revisão &amp; Questões (R7/R14/R30))</t>
  </si>
  <si>
    <t>R14: Dia 70 (Revisão &amp; Questões (R7/R14/R30))</t>
  </si>
  <si>
    <t>R30: Dia 54 (Direito Proc. Trabalho (NÚCLEO))</t>
  </si>
  <si>
    <t>Dia 85</t>
  </si>
  <si>
    <t>22/12/2026</t>
  </si>
  <si>
    <t>Revisão Final - Legislação Seca</t>
  </si>
  <si>
    <t>Passardas nos artigos mais cobrados: CLT, CF/88 e Lei 8.112/90</t>
  </si>
  <si>
    <t>R7: Dia 78 (Súmulas e OJs TST (ALTÍSSIMA RELEVÂNCIA))</t>
  </si>
  <si>
    <t>R14: Dia 71 (Direito do Trabalho (QUESTÕES))</t>
  </si>
  <si>
    <t>R30: Dia 55 (Direito Proc. Trabalho (NÚCLEO))</t>
  </si>
  <si>
    <t>Dia 86</t>
  </si>
  <si>
    <t>23/12/2026</t>
  </si>
  <si>
    <t>Revisão Final - Súmulas &amp; Prazos</t>
  </si>
  <si>
    <t>Mapeamento Mnemônico de Prazos Trabalhistas e Prazos do PJT</t>
  </si>
  <si>
    <t>R7: Dia 79 (Jurisprudência &amp; Informativos)</t>
  </si>
  <si>
    <t>R14: Dia 72 (Direito Proc. Trabalho (QUESTÕES))</t>
  </si>
  <si>
    <t>R30: Dia 56 (Revisão &amp; Questões (R7/R14/R30))</t>
  </si>
  <si>
    <t>Dia 87</t>
  </si>
  <si>
    <t>24/12/2026</t>
  </si>
  <si>
    <t>Revisão Final - Questões de Ouro</t>
  </si>
  <si>
    <t>Re-resolução das 40 questões mais difíceis erradas ao longo do cronograma</t>
  </si>
  <si>
    <t>R7: Dia 80 (Reta Final: Direito do Trabalho)</t>
  </si>
  <si>
    <t>R14: Dia 73 (Direito Constitucional (QUESTÕES))</t>
  </si>
  <si>
    <t>R30: Dia 57 (Direito Proc. Trabalho (NÚCLEO))</t>
  </si>
  <si>
    <t>Dia 88</t>
  </si>
  <si>
    <t>25/12/2026</t>
  </si>
  <si>
    <t>Revisão Geral de Véspera</t>
  </si>
  <si>
    <t>Leitura de Resumos, Mapas Mentais e Esquemas das Matérias Específicas</t>
  </si>
  <si>
    <t>R7: Dia 81 (Reta Final: Processo do Trabalho)</t>
  </si>
  <si>
    <t>R14: Dia 74 (Direito Administrativo (QUESTÕES))</t>
  </si>
  <si>
    <t>R30: Dia 58 (Direito Proc. Trabalho (NÚCLEO))</t>
  </si>
  <si>
    <t>Dia 89</t>
  </si>
  <si>
    <t>26/12/2026</t>
  </si>
  <si>
    <t>DESCANSO E PREPARAÇÃO MENTAL</t>
  </si>
  <si>
    <t>Alimentação leve, organização dos documentos, canetas e descanso para o dia da prova</t>
  </si>
  <si>
    <t>00h00m</t>
  </si>
  <si>
    <t>Especial</t>
  </si>
  <si>
    <t>R7: Dia 82 (Reta Final: Língua Portuguesa)</t>
  </si>
  <si>
    <t>R14: Dia 75 (Gestão Pública &amp; AFO (QUESTÕES))</t>
  </si>
  <si>
    <t>R30: Dia 59 (Direito Proc. Trabalho (NÚCLEO))</t>
  </si>
  <si>
    <t>Dia 90</t>
  </si>
  <si>
    <t>27/12/2026</t>
  </si>
  <si>
    <t>DIA DA PROVA TRT-4!</t>
  </si>
  <si>
    <t>Execução da prova com tranquilidade, gestão de tempo e foco!</t>
  </si>
  <si>
    <t>R7: Dia 83 (Reta Final: Constitucional &amp; Adm.)</t>
  </si>
  <si>
    <t>R14: Dia 76 (Treino Discursivo / Redação)</t>
  </si>
  <si>
    <t>R30: Dia 60 (Direito Proc. Trabalho)</t>
  </si>
  <si>
    <t>PAINEL DE CONTROLE E RAIO-X DE INCIDÊNCIA TRT-4 (TÉCNICO JUDICIÁRIO)</t>
  </si>
  <si>
    <t>1. MÉTRICAS DE EXECUÇÃO DO PLANO INTENSIVO DE 90 DIAS</t>
  </si>
  <si>
    <t>Total de Dias</t>
  </si>
  <si>
    <t>Dias Concluídos</t>
  </si>
  <si>
    <t>Dias Pendentes</t>
  </si>
  <si>
    <t>% Progresso</t>
  </si>
  <si>
    <t>Média Horas/Dia</t>
  </si>
  <si>
    <t>Data de Término</t>
  </si>
  <si>
    <t>2. RAIO-X DE INCIDÊNCIA E PESO NA PROVA (TÉCNICO JUDICIÁRIO TRT)</t>
  </si>
  <si>
    <t>Disciplina</t>
  </si>
  <si>
    <t>Peso %</t>
  </si>
  <si>
    <t>Prioridade</t>
  </si>
  <si>
    <t>Tópicos Mais Cobrados (High Yield)</t>
  </si>
  <si>
    <t>Estratégia Recomendada</t>
  </si>
  <si>
    <t>25% - 30%</t>
  </si>
  <si>
    <t>ALTÍSSIMA</t>
  </si>
  <si>
    <t>Contrato de Trabalho, Alteração/Rescisão, Jornada de Trabalho, Salário/Remuneração, Estabilidade e FGTS</t>
  </si>
  <si>
    <t>Estudo teórico aprofundado + Leitura diária da CLT + Súmulas TST</t>
  </si>
  <si>
    <t>Direito Processual do Trabalho</t>
  </si>
  <si>
    <t>20% - 25%</t>
  </si>
  <si>
    <t>Competência (Art. 114 CF), Audiência Trabalhista, Provas, Rito Sumaríssimo, Execução e Recursos (RO, AP, RR)</t>
  </si>
  <si>
    <t>Foco em procedimentos práticos, prazos trabalhistas e artigos 763 a 892 da CLT</t>
  </si>
  <si>
    <t>15% - 20%</t>
  </si>
  <si>
    <t>Interpretação de Texto, Pontuação (Vírgula), Sintaxe de Concordância/Regência, Crase e Coesão Textual</t>
  </si>
  <si>
    <t>Resolução massiva de questões da banca + Treino de interpretação rápida</t>
  </si>
  <si>
    <t>10% - 12%</t>
  </si>
  <si>
    <t>ALTA</t>
  </si>
  <si>
    <t>Direitos e Garantias Fundamentais (Art. 5º ao 17), Adm. Pública (Art. 37-41) e Poder Judiciário/TRTs (Art. 92, 111-116)</t>
  </si>
  <si>
    <t>Decoreba da letra da CF/88 + Súmulas Vinculantes do STF</t>
  </si>
  <si>
    <t>Lei 8.112/90 (Deveres, PAD), Licitações (Lei 14.133/21 - Dispensa/Inexigibilidade) e Improbidade (Lei 8.429/92)</t>
  </si>
  <si>
    <t>Foco na letra da lei 8.112 e alterações recentes de Licitações e Improbidade</t>
  </si>
  <si>
    <t>5% - 8%</t>
  </si>
  <si>
    <t>MÉDIA</t>
  </si>
  <si>
    <t>Estruturas Lógicas, Tabela Verdade, Conectivos, Negações, Equivalências e Porcentagem</t>
  </si>
  <si>
    <t>Treino diário de fórmulas lógicas e resolução de baterias de questões</t>
  </si>
  <si>
    <t>Gestão Pública &amp; AFO</t>
  </si>
  <si>
    <t>Gestão de Processos, Pessoas, Projetos, Ciclo Orçamentário (PPA, LDO, LOA) e Despesa Pública</t>
  </si>
  <si>
    <t>Estudo conceitual simplificado + Resolução de questões comentadas</t>
  </si>
  <si>
    <t>Em Andamento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</si>
</sst>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rgb="FFFFFFFF"/>
      <name val="Calibri"/>
    </font>
    <font>
      <sz val="10"/>
      <name val="Calibri"/>
    </font>
    <font>
      <b/>
      <sz val="10"/>
      <color rgb="FFC00000"/>
      <name val="Calibri"/>
    </font>
    <font>
      <b/>
      <sz val="10"/>
      <color rgb="FFB25900"/>
      <name val="Calibri"/>
    </font>
    <font>
      <b/>
      <sz val="14"/>
      <color rgb="FFFFFFFF"/>
      <name val="Calibri"/>
    </font>
    <font>
      <b/>
      <sz val="10"/>
      <name val="Calibri"/>
    </font>
    <font>
      <b/>
      <sz val="11"/>
      <name val="Calibri"/>
    </font>
    <font>
      <sz val="9"/>
      <name val="Calibri"/>
    </font>
  </fonts>
  <fills count="10">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CE4D6"/>
        <bgColor rgb="FFFCE4D6"/>
      </patternFill>
    </fill>
    <fill>
      <patternFill patternType="solid">
        <fgColor rgb="FFDCE6F1"/>
        <bgColor rgb="FFDCE6F1"/>
      </patternFill>
    </fill>
    <fill>
      <patternFill patternType="solid">
        <fgColor rgb="FFF2F4F7"/>
        <bgColor rgb="FFF2F4F7"/>
      </patternFill>
    </fill>
    <fill>
      <patternFill patternType="solid">
        <fgColor rgb="FFFFF2CC"/>
        <bgColor rgb="FFFFF2CC"/>
      </patternFill>
    </fill>
    <fill>
      <patternFill patternType="solid">
        <fgColor rgb="FF2F5496"/>
        <bgColor rgb="FF2F5496"/>
      </patternFill>
    </fill>
    <fill>
      <patternFill patternType="solid">
        <fgColor rgb="FFE2EFDA"/>
        <bgColor rgb="FFE2EFD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9" borderId="1" xfId="0" applyFont="1" applyFill="1" applyBorder="1" applyAlignment="1">
      <alignment horizontal="center" vertical="center"/>
    </xf>
    <xf numFmtId="164" fontId="7" fillId="9" borderId="1" xfId="0" applyNumberFormat="1" applyFont="1" applyFill="1" applyBorder="1" applyAlignment="1">
      <alignment horizontal="center" vertical="center"/>
    </xf>
    <xf numFmtId="0" fontId="1" fillId="2" borderId="0" xfId="0" applyFont="1" applyFill="1" applyAlignment="1">
      <alignment horizontal="center" vertical="center"/>
    </xf>
    <xf numFmtId="0" fontId="6" fillId="0" borderId="1" xfId="0" applyFont="1" applyBorder="1"/>
    <xf numFmtId="0" fontId="0" fillId="0" borderId="1" xfId="0" applyBorder="1" applyAlignment="1">
      <alignment horizontal="center"/>
    </xf>
    <xf numFmtId="0" fontId="3" fillId="4" borderId="1" xfId="0" applyFont="1" applyFill="1" applyBorder="1" applyAlignment="1">
      <alignment horizontal="center"/>
    </xf>
    <xf numFmtId="0" fontId="8" fillId="0" borderId="1" xfId="0" applyFont="1" applyBorder="1"/>
    <xf numFmtId="0" fontId="4" fillId="7" borderId="1" xfId="0" applyFont="1" applyFill="1" applyBorder="1" applyAlignment="1">
      <alignment horizontal="center"/>
    </xf>
    <xf numFmtId="0" fontId="8" fillId="0" borderId="1" xfId="0" applyFont="1" applyBorder="1"/>
    <xf numFmtId="0" fontId="5" fillId="2" borderId="0" xfId="0" applyFont="1" applyFill="1" applyAlignment="1">
      <alignment horizontal="center" vertical="center"/>
    </xf>
    <xf numFmtId="0" fontId="0" fillId="0" borderId="0" xfId="0"/>
    <xf numFmtId="0" fontId="1" fillId="8" borderId="0" xfId="0" applyFont="1" applyFill="1" applyAlignment="1">
      <alignment horizontal="left" vertical="center" inden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1"/>
  <sheetViews>
    <sheetView tabSelected="1" workbookViewId="0">
      <pane ySplit="1" topLeftCell="A2" activePane="bottomLeft" state="frozen"/>
      <selection pane="bottomLeft" activeCell="I3" sqref="I3"/>
    </sheetView>
  </sheetViews>
  <sheetFormatPr defaultRowHeight="14.4" x14ac:dyDescent="0.3"/>
  <cols>
    <col min="1" max="1" width="10" customWidth="1"/>
    <col min="2" max="2" width="13" customWidth="1"/>
    <col min="3" max="3" width="32" customWidth="1"/>
    <col min="4" max="4" width="68" customWidth="1"/>
    <col min="5" max="5" width="14" customWidth="1"/>
    <col min="6" max="6" width="22" customWidth="1"/>
    <col min="7" max="7" width="15" customWidth="1"/>
    <col min="8" max="8" width="22" customWidth="1"/>
    <col min="9" max="9" width="16" customWidth="1"/>
    <col min="10" max="13" width="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ht="27.6" x14ac:dyDescent="0.3">
      <c r="A2" s="2" t="s">
        <v>13</v>
      </c>
      <c r="B2" s="2" t="s">
        <v>14</v>
      </c>
      <c r="C2" s="3" t="s">
        <v>15</v>
      </c>
      <c r="D2" s="3" t="s">
        <v>16</v>
      </c>
      <c r="E2" s="2" t="s">
        <v>17</v>
      </c>
      <c r="F2" s="2" t="s">
        <v>18</v>
      </c>
      <c r="G2" s="2" t="s">
        <v>19</v>
      </c>
      <c r="H2" s="4" t="s">
        <v>20</v>
      </c>
      <c r="I2" s="5" t="s">
        <v>21</v>
      </c>
      <c r="J2" s="3" t="s">
        <v>22</v>
      </c>
      <c r="K2" s="3" t="s">
        <v>22</v>
      </c>
      <c r="L2" s="3" t="s">
        <v>22</v>
      </c>
      <c r="M2" s="3"/>
    </row>
    <row r="3" spans="1:13" ht="27.6" x14ac:dyDescent="0.3">
      <c r="A3" s="6" t="s">
        <v>23</v>
      </c>
      <c r="B3" s="6" t="s">
        <v>24</v>
      </c>
      <c r="C3" s="7" t="s">
        <v>25</v>
      </c>
      <c r="D3" s="7" t="s">
        <v>26</v>
      </c>
      <c r="E3" s="6" t="s">
        <v>17</v>
      </c>
      <c r="F3" s="6" t="s">
        <v>27</v>
      </c>
      <c r="G3" s="6" t="s">
        <v>28</v>
      </c>
      <c r="H3" s="6" t="s">
        <v>29</v>
      </c>
      <c r="I3" s="5" t="s">
        <v>628</v>
      </c>
      <c r="J3" s="7" t="s">
        <v>22</v>
      </c>
      <c r="K3" s="7" t="s">
        <v>22</v>
      </c>
      <c r="L3" s="7" t="s">
        <v>22</v>
      </c>
      <c r="M3" s="7"/>
    </row>
    <row r="4" spans="1:13" ht="27.6" x14ac:dyDescent="0.3">
      <c r="A4" s="2" t="s">
        <v>30</v>
      </c>
      <c r="B4" s="2" t="s">
        <v>31</v>
      </c>
      <c r="C4" s="3" t="s">
        <v>32</v>
      </c>
      <c r="D4" s="3" t="s">
        <v>33</v>
      </c>
      <c r="E4" s="2" t="s">
        <v>17</v>
      </c>
      <c r="F4" s="2" t="s">
        <v>34</v>
      </c>
      <c r="G4" s="2" t="s">
        <v>35</v>
      </c>
      <c r="H4" s="2" t="s">
        <v>29</v>
      </c>
      <c r="I4" s="5" t="s">
        <v>21</v>
      </c>
      <c r="J4" s="3" t="s">
        <v>22</v>
      </c>
      <c r="K4" s="3" t="s">
        <v>22</v>
      </c>
      <c r="L4" s="3" t="s">
        <v>22</v>
      </c>
      <c r="M4" s="3"/>
    </row>
    <row r="5" spans="1:13" x14ac:dyDescent="0.3">
      <c r="A5" s="6" t="s">
        <v>36</v>
      </c>
      <c r="B5" s="6" t="s">
        <v>37</v>
      </c>
      <c r="C5" s="7" t="s">
        <v>32</v>
      </c>
      <c r="D5" s="7" t="s">
        <v>38</v>
      </c>
      <c r="E5" s="6" t="s">
        <v>17</v>
      </c>
      <c r="F5" s="6" t="s">
        <v>39</v>
      </c>
      <c r="G5" s="6" t="s">
        <v>40</v>
      </c>
      <c r="H5" s="6" t="s">
        <v>29</v>
      </c>
      <c r="I5" s="5" t="s">
        <v>21</v>
      </c>
      <c r="J5" s="7" t="s">
        <v>22</v>
      </c>
      <c r="K5" s="7" t="s">
        <v>22</v>
      </c>
      <c r="L5" s="7" t="s">
        <v>22</v>
      </c>
      <c r="M5" s="7"/>
    </row>
    <row r="6" spans="1:13" ht="27.6" x14ac:dyDescent="0.3">
      <c r="A6" s="2" t="s">
        <v>41</v>
      </c>
      <c r="B6" s="2" t="s">
        <v>42</v>
      </c>
      <c r="C6" s="3" t="s">
        <v>15</v>
      </c>
      <c r="D6" s="3" t="s">
        <v>43</v>
      </c>
      <c r="E6" s="2" t="s">
        <v>17</v>
      </c>
      <c r="F6" s="2" t="s">
        <v>44</v>
      </c>
      <c r="G6" s="2" t="s">
        <v>45</v>
      </c>
      <c r="H6" s="4" t="s">
        <v>20</v>
      </c>
      <c r="I6" s="5" t="s">
        <v>21</v>
      </c>
      <c r="J6" s="3" t="s">
        <v>22</v>
      </c>
      <c r="K6" s="3" t="s">
        <v>22</v>
      </c>
      <c r="L6" s="3" t="s">
        <v>22</v>
      </c>
      <c r="M6" s="3"/>
    </row>
    <row r="7" spans="1:13" x14ac:dyDescent="0.3">
      <c r="A7" s="6" t="s">
        <v>46</v>
      </c>
      <c r="B7" s="6" t="s">
        <v>47</v>
      </c>
      <c r="C7" s="7" t="s">
        <v>48</v>
      </c>
      <c r="D7" s="7" t="s">
        <v>49</v>
      </c>
      <c r="E7" s="6" t="s">
        <v>17</v>
      </c>
      <c r="F7" s="6" t="s">
        <v>50</v>
      </c>
      <c r="G7" s="6" t="s">
        <v>51</v>
      </c>
      <c r="H7" s="6" t="s">
        <v>29</v>
      </c>
      <c r="I7" s="5" t="s">
        <v>21</v>
      </c>
      <c r="J7" s="7" t="s">
        <v>22</v>
      </c>
      <c r="K7" s="7" t="s">
        <v>22</v>
      </c>
      <c r="L7" s="7" t="s">
        <v>22</v>
      </c>
      <c r="M7" s="7"/>
    </row>
    <row r="8" spans="1:13" x14ac:dyDescent="0.3">
      <c r="A8" s="2" t="s">
        <v>52</v>
      </c>
      <c r="B8" s="2" t="s">
        <v>53</v>
      </c>
      <c r="C8" s="3" t="s">
        <v>54</v>
      </c>
      <c r="D8" s="3" t="s">
        <v>55</v>
      </c>
      <c r="E8" s="2" t="s">
        <v>56</v>
      </c>
      <c r="F8" s="2" t="s">
        <v>57</v>
      </c>
      <c r="G8" s="2" t="s">
        <v>58</v>
      </c>
      <c r="H8" s="4" t="s">
        <v>20</v>
      </c>
      <c r="I8" s="5" t="s">
        <v>21</v>
      </c>
      <c r="J8" s="3" t="s">
        <v>22</v>
      </c>
      <c r="K8" s="3" t="s">
        <v>22</v>
      </c>
      <c r="L8" s="3" t="s">
        <v>22</v>
      </c>
      <c r="M8" s="3"/>
    </row>
    <row r="9" spans="1:13" x14ac:dyDescent="0.3">
      <c r="A9" s="6" t="s">
        <v>59</v>
      </c>
      <c r="B9" s="6" t="s">
        <v>60</v>
      </c>
      <c r="C9" s="7" t="s">
        <v>32</v>
      </c>
      <c r="D9" s="7" t="s">
        <v>61</v>
      </c>
      <c r="E9" s="6" t="s">
        <v>17</v>
      </c>
      <c r="F9" s="6" t="s">
        <v>62</v>
      </c>
      <c r="G9" s="6" t="s">
        <v>63</v>
      </c>
      <c r="H9" s="6" t="s">
        <v>29</v>
      </c>
      <c r="I9" s="5" t="s">
        <v>21</v>
      </c>
      <c r="J9" s="7" t="s">
        <v>64</v>
      </c>
      <c r="K9" s="7" t="s">
        <v>22</v>
      </c>
      <c r="L9" s="7" t="s">
        <v>22</v>
      </c>
      <c r="M9" s="7"/>
    </row>
    <row r="10" spans="1:13" x14ac:dyDescent="0.3">
      <c r="A10" s="2" t="s">
        <v>65</v>
      </c>
      <c r="B10" s="2" t="s">
        <v>66</v>
      </c>
      <c r="C10" s="3" t="s">
        <v>15</v>
      </c>
      <c r="D10" s="3" t="s">
        <v>67</v>
      </c>
      <c r="E10" s="2" t="s">
        <v>17</v>
      </c>
      <c r="F10" s="2" t="s">
        <v>68</v>
      </c>
      <c r="G10" s="2" t="s">
        <v>69</v>
      </c>
      <c r="H10" s="4" t="s">
        <v>20</v>
      </c>
      <c r="I10" s="5" t="s">
        <v>21</v>
      </c>
      <c r="J10" s="3" t="s">
        <v>70</v>
      </c>
      <c r="K10" s="3" t="s">
        <v>22</v>
      </c>
      <c r="L10" s="3" t="s">
        <v>22</v>
      </c>
      <c r="M10" s="3"/>
    </row>
    <row r="11" spans="1:13" ht="27.6" x14ac:dyDescent="0.3">
      <c r="A11" s="6" t="s">
        <v>71</v>
      </c>
      <c r="B11" s="6" t="s">
        <v>72</v>
      </c>
      <c r="C11" s="7" t="s">
        <v>15</v>
      </c>
      <c r="D11" s="7" t="s">
        <v>73</v>
      </c>
      <c r="E11" s="6" t="s">
        <v>17</v>
      </c>
      <c r="F11" s="6" t="s">
        <v>74</v>
      </c>
      <c r="G11" s="6" t="s">
        <v>75</v>
      </c>
      <c r="H11" s="4" t="s">
        <v>20</v>
      </c>
      <c r="I11" s="5" t="s">
        <v>21</v>
      </c>
      <c r="J11" s="7" t="s">
        <v>76</v>
      </c>
      <c r="K11" s="7" t="s">
        <v>22</v>
      </c>
      <c r="L11" s="7" t="s">
        <v>22</v>
      </c>
      <c r="M11" s="7"/>
    </row>
    <row r="12" spans="1:13" ht="27.6" x14ac:dyDescent="0.3">
      <c r="A12" s="2" t="s">
        <v>77</v>
      </c>
      <c r="B12" s="2" t="s">
        <v>78</v>
      </c>
      <c r="C12" s="3" t="s">
        <v>48</v>
      </c>
      <c r="D12" s="3" t="s">
        <v>79</v>
      </c>
      <c r="E12" s="2" t="s">
        <v>17</v>
      </c>
      <c r="F12" s="2" t="s">
        <v>80</v>
      </c>
      <c r="G12" s="2" t="s">
        <v>81</v>
      </c>
      <c r="H12" s="4" t="s">
        <v>20</v>
      </c>
      <c r="I12" s="5" t="s">
        <v>21</v>
      </c>
      <c r="J12" s="3" t="s">
        <v>82</v>
      </c>
      <c r="K12" s="3" t="s">
        <v>22</v>
      </c>
      <c r="L12" s="3" t="s">
        <v>22</v>
      </c>
      <c r="M12" s="3"/>
    </row>
    <row r="13" spans="1:13" ht="27.6" x14ac:dyDescent="0.3">
      <c r="A13" s="6" t="s">
        <v>83</v>
      </c>
      <c r="B13" s="6" t="s">
        <v>84</v>
      </c>
      <c r="C13" s="7" t="s">
        <v>48</v>
      </c>
      <c r="D13" s="7" t="s">
        <v>85</v>
      </c>
      <c r="E13" s="6" t="s">
        <v>17</v>
      </c>
      <c r="F13" s="6" t="s">
        <v>27</v>
      </c>
      <c r="G13" s="6" t="s">
        <v>28</v>
      </c>
      <c r="H13" s="6" t="s">
        <v>29</v>
      </c>
      <c r="I13" s="5" t="s">
        <v>21</v>
      </c>
      <c r="J13" s="7" t="s">
        <v>86</v>
      </c>
      <c r="K13" s="7" t="s">
        <v>22</v>
      </c>
      <c r="L13" s="7" t="s">
        <v>22</v>
      </c>
      <c r="M13" s="7"/>
    </row>
    <row r="14" spans="1:13" ht="27.6" x14ac:dyDescent="0.3">
      <c r="A14" s="2" t="s">
        <v>87</v>
      </c>
      <c r="B14" s="2" t="s">
        <v>88</v>
      </c>
      <c r="C14" s="3" t="s">
        <v>32</v>
      </c>
      <c r="D14" s="3" t="s">
        <v>89</v>
      </c>
      <c r="E14" s="2" t="s">
        <v>17</v>
      </c>
      <c r="F14" s="2" t="s">
        <v>39</v>
      </c>
      <c r="G14" s="2" t="s">
        <v>40</v>
      </c>
      <c r="H14" s="2" t="s">
        <v>29</v>
      </c>
      <c r="I14" s="5" t="s">
        <v>21</v>
      </c>
      <c r="J14" s="3" t="s">
        <v>90</v>
      </c>
      <c r="K14" s="3" t="s">
        <v>22</v>
      </c>
      <c r="L14" s="3" t="s">
        <v>22</v>
      </c>
      <c r="M14" s="3"/>
    </row>
    <row r="15" spans="1:13" ht="27.6" x14ac:dyDescent="0.3">
      <c r="A15" s="6" t="s">
        <v>91</v>
      </c>
      <c r="B15" s="6" t="s">
        <v>92</v>
      </c>
      <c r="C15" s="7" t="s">
        <v>54</v>
      </c>
      <c r="D15" s="7" t="s">
        <v>93</v>
      </c>
      <c r="E15" s="6" t="s">
        <v>56</v>
      </c>
      <c r="F15" s="6" t="s">
        <v>94</v>
      </c>
      <c r="G15" s="6" t="s">
        <v>95</v>
      </c>
      <c r="H15" s="4" t="s">
        <v>20</v>
      </c>
      <c r="I15" s="5" t="s">
        <v>21</v>
      </c>
      <c r="J15" s="7" t="s">
        <v>96</v>
      </c>
      <c r="K15" s="7" t="s">
        <v>22</v>
      </c>
      <c r="L15" s="7" t="s">
        <v>22</v>
      </c>
      <c r="M15" s="7"/>
    </row>
    <row r="16" spans="1:13" ht="27.6" x14ac:dyDescent="0.3">
      <c r="A16" s="2" t="s">
        <v>97</v>
      </c>
      <c r="B16" s="2" t="s">
        <v>98</v>
      </c>
      <c r="C16" s="3" t="s">
        <v>32</v>
      </c>
      <c r="D16" s="3" t="s">
        <v>99</v>
      </c>
      <c r="E16" s="2" t="s">
        <v>17</v>
      </c>
      <c r="F16" s="2" t="s">
        <v>39</v>
      </c>
      <c r="G16" s="2" t="s">
        <v>40</v>
      </c>
      <c r="H16" s="2" t="s">
        <v>29</v>
      </c>
      <c r="I16" s="5" t="s">
        <v>21</v>
      </c>
      <c r="J16" s="3" t="s">
        <v>100</v>
      </c>
      <c r="K16" s="3" t="s">
        <v>101</v>
      </c>
      <c r="L16" s="3" t="s">
        <v>22</v>
      </c>
      <c r="M16" s="3"/>
    </row>
    <row r="17" spans="1:13" ht="27.6" x14ac:dyDescent="0.3">
      <c r="A17" s="6" t="s">
        <v>102</v>
      </c>
      <c r="B17" s="6" t="s">
        <v>103</v>
      </c>
      <c r="C17" s="7" t="s">
        <v>32</v>
      </c>
      <c r="D17" s="7" t="s">
        <v>104</v>
      </c>
      <c r="E17" s="6" t="s">
        <v>17</v>
      </c>
      <c r="F17" s="6" t="s">
        <v>74</v>
      </c>
      <c r="G17" s="6" t="s">
        <v>75</v>
      </c>
      <c r="H17" s="6" t="s">
        <v>29</v>
      </c>
      <c r="I17" s="5" t="s">
        <v>21</v>
      </c>
      <c r="J17" s="7" t="s">
        <v>105</v>
      </c>
      <c r="K17" s="7" t="s">
        <v>106</v>
      </c>
      <c r="L17" s="7" t="s">
        <v>22</v>
      </c>
      <c r="M17" s="7"/>
    </row>
    <row r="18" spans="1:13" ht="27.6" x14ac:dyDescent="0.3">
      <c r="A18" s="2" t="s">
        <v>107</v>
      </c>
      <c r="B18" s="2" t="s">
        <v>108</v>
      </c>
      <c r="C18" s="3" t="s">
        <v>15</v>
      </c>
      <c r="D18" s="3" t="s">
        <v>109</v>
      </c>
      <c r="E18" s="2" t="s">
        <v>17</v>
      </c>
      <c r="F18" s="2" t="s">
        <v>39</v>
      </c>
      <c r="G18" s="2" t="s">
        <v>40</v>
      </c>
      <c r="H18" s="4" t="s">
        <v>20</v>
      </c>
      <c r="I18" s="5" t="s">
        <v>21</v>
      </c>
      <c r="J18" s="3" t="s">
        <v>110</v>
      </c>
      <c r="K18" s="3" t="s">
        <v>111</v>
      </c>
      <c r="L18" s="3" t="s">
        <v>22</v>
      </c>
      <c r="M18" s="3"/>
    </row>
    <row r="19" spans="1:13" ht="27.6" x14ac:dyDescent="0.3">
      <c r="A19" s="6" t="s">
        <v>112</v>
      </c>
      <c r="B19" s="6" t="s">
        <v>113</v>
      </c>
      <c r="C19" s="7" t="s">
        <v>15</v>
      </c>
      <c r="D19" s="7" t="s">
        <v>114</v>
      </c>
      <c r="E19" s="6" t="s">
        <v>17</v>
      </c>
      <c r="F19" s="6" t="s">
        <v>74</v>
      </c>
      <c r="G19" s="6" t="s">
        <v>75</v>
      </c>
      <c r="H19" s="4" t="s">
        <v>20</v>
      </c>
      <c r="I19" s="5" t="s">
        <v>21</v>
      </c>
      <c r="J19" s="7" t="s">
        <v>115</v>
      </c>
      <c r="K19" s="7" t="s">
        <v>116</v>
      </c>
      <c r="L19" s="7" t="s">
        <v>22</v>
      </c>
      <c r="M19" s="7"/>
    </row>
    <row r="20" spans="1:13" ht="27.6" x14ac:dyDescent="0.3">
      <c r="A20" s="2" t="s">
        <v>117</v>
      </c>
      <c r="B20" s="2" t="s">
        <v>118</v>
      </c>
      <c r="C20" s="3" t="s">
        <v>48</v>
      </c>
      <c r="D20" s="3" t="s">
        <v>119</v>
      </c>
      <c r="E20" s="2" t="s">
        <v>17</v>
      </c>
      <c r="F20" s="2" t="s">
        <v>39</v>
      </c>
      <c r="G20" s="2" t="s">
        <v>40</v>
      </c>
      <c r="H20" s="4" t="s">
        <v>20</v>
      </c>
      <c r="I20" s="5" t="s">
        <v>21</v>
      </c>
      <c r="J20" s="3" t="s">
        <v>120</v>
      </c>
      <c r="K20" s="3" t="s">
        <v>121</v>
      </c>
      <c r="L20" s="3" t="s">
        <v>22</v>
      </c>
      <c r="M20" s="3"/>
    </row>
    <row r="21" spans="1:13" ht="27.6" x14ac:dyDescent="0.3">
      <c r="A21" s="6" t="s">
        <v>122</v>
      </c>
      <c r="B21" s="6" t="s">
        <v>123</v>
      </c>
      <c r="C21" s="7" t="s">
        <v>15</v>
      </c>
      <c r="D21" s="7" t="s">
        <v>124</v>
      </c>
      <c r="E21" s="6" t="s">
        <v>17</v>
      </c>
      <c r="F21" s="6" t="s">
        <v>39</v>
      </c>
      <c r="G21" s="6" t="s">
        <v>40</v>
      </c>
      <c r="H21" s="6" t="s">
        <v>29</v>
      </c>
      <c r="I21" s="5" t="s">
        <v>21</v>
      </c>
      <c r="J21" s="7" t="s">
        <v>125</v>
      </c>
      <c r="K21" s="7" t="s">
        <v>126</v>
      </c>
      <c r="L21" s="7" t="s">
        <v>22</v>
      </c>
      <c r="M21" s="7"/>
    </row>
    <row r="22" spans="1:13" ht="27.6" x14ac:dyDescent="0.3">
      <c r="A22" s="2" t="s">
        <v>127</v>
      </c>
      <c r="B22" s="2" t="s">
        <v>128</v>
      </c>
      <c r="C22" s="3" t="s">
        <v>129</v>
      </c>
      <c r="D22" s="3" t="s">
        <v>130</v>
      </c>
      <c r="E22" s="2" t="s">
        <v>56</v>
      </c>
      <c r="F22" s="2" t="s">
        <v>57</v>
      </c>
      <c r="G22" s="2" t="s">
        <v>58</v>
      </c>
      <c r="H22" s="4" t="s">
        <v>20</v>
      </c>
      <c r="I22" s="5" t="s">
        <v>21</v>
      </c>
      <c r="J22" s="3" t="s">
        <v>131</v>
      </c>
      <c r="K22" s="3" t="s">
        <v>132</v>
      </c>
      <c r="L22" s="3" t="s">
        <v>22</v>
      </c>
      <c r="M22" s="3"/>
    </row>
    <row r="23" spans="1:13" ht="27.6" x14ac:dyDescent="0.3">
      <c r="A23" s="6" t="s">
        <v>133</v>
      </c>
      <c r="B23" s="6" t="s">
        <v>134</v>
      </c>
      <c r="C23" s="7" t="s">
        <v>135</v>
      </c>
      <c r="D23" s="7" t="s">
        <v>136</v>
      </c>
      <c r="E23" s="6" t="s">
        <v>17</v>
      </c>
      <c r="F23" s="6" t="s">
        <v>39</v>
      </c>
      <c r="G23" s="6" t="s">
        <v>40</v>
      </c>
      <c r="H23" s="4" t="s">
        <v>20</v>
      </c>
      <c r="I23" s="5" t="s">
        <v>21</v>
      </c>
      <c r="J23" s="7" t="s">
        <v>137</v>
      </c>
      <c r="K23" s="7" t="s">
        <v>138</v>
      </c>
      <c r="L23" s="7" t="s">
        <v>22</v>
      </c>
      <c r="M23" s="7"/>
    </row>
    <row r="24" spans="1:13" ht="27.6" x14ac:dyDescent="0.3">
      <c r="A24" s="2" t="s">
        <v>139</v>
      </c>
      <c r="B24" s="2" t="s">
        <v>140</v>
      </c>
      <c r="C24" s="3" t="s">
        <v>135</v>
      </c>
      <c r="D24" s="3" t="s">
        <v>141</v>
      </c>
      <c r="E24" s="2" t="s">
        <v>17</v>
      </c>
      <c r="F24" s="2" t="s">
        <v>27</v>
      </c>
      <c r="G24" s="2" t="s">
        <v>28</v>
      </c>
      <c r="H24" s="4" t="s">
        <v>20</v>
      </c>
      <c r="I24" s="5" t="s">
        <v>21</v>
      </c>
      <c r="J24" s="3" t="s">
        <v>142</v>
      </c>
      <c r="K24" s="3" t="s">
        <v>143</v>
      </c>
      <c r="L24" s="3" t="s">
        <v>22</v>
      </c>
      <c r="M24" s="3"/>
    </row>
    <row r="25" spans="1:13" ht="27.6" x14ac:dyDescent="0.3">
      <c r="A25" s="6" t="s">
        <v>144</v>
      </c>
      <c r="B25" s="6" t="s">
        <v>145</v>
      </c>
      <c r="C25" s="7" t="s">
        <v>135</v>
      </c>
      <c r="D25" s="7" t="s">
        <v>146</v>
      </c>
      <c r="E25" s="6" t="s">
        <v>17</v>
      </c>
      <c r="F25" s="6" t="s">
        <v>74</v>
      </c>
      <c r="G25" s="6" t="s">
        <v>75</v>
      </c>
      <c r="H25" s="8" t="s">
        <v>147</v>
      </c>
      <c r="I25" s="5" t="s">
        <v>21</v>
      </c>
      <c r="J25" s="7" t="s">
        <v>148</v>
      </c>
      <c r="K25" s="7" t="s">
        <v>149</v>
      </c>
      <c r="L25" s="7" t="s">
        <v>22</v>
      </c>
      <c r="M25" s="7"/>
    </row>
    <row r="26" spans="1:13" ht="27.6" x14ac:dyDescent="0.3">
      <c r="A26" s="2" t="s">
        <v>150</v>
      </c>
      <c r="B26" s="2" t="s">
        <v>151</v>
      </c>
      <c r="C26" s="3" t="s">
        <v>152</v>
      </c>
      <c r="D26" s="3" t="s">
        <v>153</v>
      </c>
      <c r="E26" s="2" t="s">
        <v>17</v>
      </c>
      <c r="F26" s="2" t="s">
        <v>27</v>
      </c>
      <c r="G26" s="2" t="s">
        <v>28</v>
      </c>
      <c r="H26" s="4" t="s">
        <v>20</v>
      </c>
      <c r="I26" s="5" t="s">
        <v>21</v>
      </c>
      <c r="J26" s="3" t="s">
        <v>154</v>
      </c>
      <c r="K26" s="3" t="s">
        <v>155</v>
      </c>
      <c r="L26" s="3" t="s">
        <v>22</v>
      </c>
      <c r="M26" s="3"/>
    </row>
    <row r="27" spans="1:13" ht="27.6" x14ac:dyDescent="0.3">
      <c r="A27" s="6" t="s">
        <v>156</v>
      </c>
      <c r="B27" s="6" t="s">
        <v>157</v>
      </c>
      <c r="C27" s="7" t="s">
        <v>152</v>
      </c>
      <c r="D27" s="7" t="s">
        <v>158</v>
      </c>
      <c r="E27" s="6" t="s">
        <v>17</v>
      </c>
      <c r="F27" s="6" t="s">
        <v>74</v>
      </c>
      <c r="G27" s="6" t="s">
        <v>75</v>
      </c>
      <c r="H27" s="4" t="s">
        <v>20</v>
      </c>
      <c r="I27" s="5" t="s">
        <v>21</v>
      </c>
      <c r="J27" s="7" t="s">
        <v>159</v>
      </c>
      <c r="K27" s="7" t="s">
        <v>160</v>
      </c>
      <c r="L27" s="7" t="s">
        <v>22</v>
      </c>
      <c r="M27" s="7"/>
    </row>
    <row r="28" spans="1:13" ht="27.6" x14ac:dyDescent="0.3">
      <c r="A28" s="2" t="s">
        <v>161</v>
      </c>
      <c r="B28" s="2" t="s">
        <v>162</v>
      </c>
      <c r="C28" s="3" t="s">
        <v>152</v>
      </c>
      <c r="D28" s="3" t="s">
        <v>163</v>
      </c>
      <c r="E28" s="2" t="s">
        <v>17</v>
      </c>
      <c r="F28" s="2" t="s">
        <v>39</v>
      </c>
      <c r="G28" s="2" t="s">
        <v>40</v>
      </c>
      <c r="H28" s="4" t="s">
        <v>20</v>
      </c>
      <c r="I28" s="5" t="s">
        <v>21</v>
      </c>
      <c r="J28" s="3" t="s">
        <v>164</v>
      </c>
      <c r="K28" s="3" t="s">
        <v>165</v>
      </c>
      <c r="L28" s="3" t="s">
        <v>22</v>
      </c>
      <c r="M28" s="3"/>
    </row>
    <row r="29" spans="1:13" ht="27.6" x14ac:dyDescent="0.3">
      <c r="A29" s="6" t="s">
        <v>166</v>
      </c>
      <c r="B29" s="6" t="s">
        <v>167</v>
      </c>
      <c r="C29" s="7" t="s">
        <v>129</v>
      </c>
      <c r="D29" s="7" t="s">
        <v>168</v>
      </c>
      <c r="E29" s="6" t="s">
        <v>56</v>
      </c>
      <c r="F29" s="6" t="s">
        <v>57</v>
      </c>
      <c r="G29" s="6" t="s">
        <v>58</v>
      </c>
      <c r="H29" s="4" t="s">
        <v>20</v>
      </c>
      <c r="I29" s="5" t="s">
        <v>21</v>
      </c>
      <c r="J29" s="7" t="s">
        <v>169</v>
      </c>
      <c r="K29" s="7" t="s">
        <v>170</v>
      </c>
      <c r="L29" s="7" t="s">
        <v>22</v>
      </c>
      <c r="M29" s="7"/>
    </row>
    <row r="30" spans="1:13" ht="27.6" x14ac:dyDescent="0.3">
      <c r="A30" s="2" t="s">
        <v>171</v>
      </c>
      <c r="B30" s="2" t="s">
        <v>172</v>
      </c>
      <c r="C30" s="3" t="s">
        <v>173</v>
      </c>
      <c r="D30" s="3" t="s">
        <v>174</v>
      </c>
      <c r="E30" s="2" t="s">
        <v>17</v>
      </c>
      <c r="F30" s="2" t="s">
        <v>27</v>
      </c>
      <c r="G30" s="2" t="s">
        <v>28</v>
      </c>
      <c r="H30" s="4" t="s">
        <v>20</v>
      </c>
      <c r="I30" s="5" t="s">
        <v>21</v>
      </c>
      <c r="J30" s="3" t="s">
        <v>175</v>
      </c>
      <c r="K30" s="3" t="s">
        <v>176</v>
      </c>
      <c r="L30" s="3" t="s">
        <v>22</v>
      </c>
      <c r="M30" s="3"/>
    </row>
    <row r="31" spans="1:13" ht="27.6" x14ac:dyDescent="0.3">
      <c r="A31" s="6" t="s">
        <v>177</v>
      </c>
      <c r="B31" s="6" t="s">
        <v>178</v>
      </c>
      <c r="C31" s="7" t="s">
        <v>179</v>
      </c>
      <c r="D31" s="7" t="s">
        <v>180</v>
      </c>
      <c r="E31" s="6" t="s">
        <v>17</v>
      </c>
      <c r="F31" s="6" t="s">
        <v>39</v>
      </c>
      <c r="G31" s="6" t="s">
        <v>40</v>
      </c>
      <c r="H31" s="4" t="s">
        <v>20</v>
      </c>
      <c r="I31" s="5" t="s">
        <v>21</v>
      </c>
      <c r="J31" s="7" t="s">
        <v>181</v>
      </c>
      <c r="K31" s="7" t="s">
        <v>182</v>
      </c>
      <c r="L31" s="7" t="s">
        <v>22</v>
      </c>
      <c r="M31" s="7"/>
    </row>
    <row r="32" spans="1:13" ht="27.6" x14ac:dyDescent="0.3">
      <c r="A32" s="2" t="s">
        <v>183</v>
      </c>
      <c r="B32" s="2" t="s">
        <v>184</v>
      </c>
      <c r="C32" s="3" t="s">
        <v>179</v>
      </c>
      <c r="D32" s="3" t="s">
        <v>185</v>
      </c>
      <c r="E32" s="2" t="s">
        <v>17</v>
      </c>
      <c r="F32" s="2" t="s">
        <v>74</v>
      </c>
      <c r="G32" s="2" t="s">
        <v>75</v>
      </c>
      <c r="H32" s="4" t="s">
        <v>20</v>
      </c>
      <c r="I32" s="5" t="s">
        <v>21</v>
      </c>
      <c r="J32" s="3" t="s">
        <v>186</v>
      </c>
      <c r="K32" s="3" t="s">
        <v>187</v>
      </c>
      <c r="L32" s="3" t="s">
        <v>188</v>
      </c>
      <c r="M32" s="3"/>
    </row>
    <row r="33" spans="1:13" ht="27.6" x14ac:dyDescent="0.3">
      <c r="A33" s="6" t="s">
        <v>189</v>
      </c>
      <c r="B33" s="6" t="s">
        <v>190</v>
      </c>
      <c r="C33" s="7" t="s">
        <v>179</v>
      </c>
      <c r="D33" s="7" t="s">
        <v>191</v>
      </c>
      <c r="E33" s="6" t="s">
        <v>17</v>
      </c>
      <c r="F33" s="6" t="s">
        <v>27</v>
      </c>
      <c r="G33" s="6" t="s">
        <v>28</v>
      </c>
      <c r="H33" s="8" t="s">
        <v>147</v>
      </c>
      <c r="I33" s="5" t="s">
        <v>21</v>
      </c>
      <c r="J33" s="7" t="s">
        <v>192</v>
      </c>
      <c r="K33" s="7" t="s">
        <v>193</v>
      </c>
      <c r="L33" s="7" t="s">
        <v>194</v>
      </c>
      <c r="M33" s="7"/>
    </row>
    <row r="34" spans="1:13" ht="27.6" x14ac:dyDescent="0.3">
      <c r="A34" s="2" t="s">
        <v>195</v>
      </c>
      <c r="B34" s="2" t="s">
        <v>196</v>
      </c>
      <c r="C34" s="3" t="s">
        <v>197</v>
      </c>
      <c r="D34" s="3" t="s">
        <v>198</v>
      </c>
      <c r="E34" s="2" t="s">
        <v>17</v>
      </c>
      <c r="F34" s="2" t="s">
        <v>39</v>
      </c>
      <c r="G34" s="2" t="s">
        <v>40</v>
      </c>
      <c r="H34" s="2" t="s">
        <v>29</v>
      </c>
      <c r="I34" s="5" t="s">
        <v>21</v>
      </c>
      <c r="J34" s="3" t="s">
        <v>199</v>
      </c>
      <c r="K34" s="3" t="s">
        <v>200</v>
      </c>
      <c r="L34" s="3" t="s">
        <v>201</v>
      </c>
      <c r="M34" s="3"/>
    </row>
    <row r="35" spans="1:13" ht="27.6" x14ac:dyDescent="0.3">
      <c r="A35" s="6" t="s">
        <v>202</v>
      </c>
      <c r="B35" s="6" t="s">
        <v>203</v>
      </c>
      <c r="C35" s="7" t="s">
        <v>204</v>
      </c>
      <c r="D35" s="7" t="s">
        <v>205</v>
      </c>
      <c r="E35" s="6" t="s">
        <v>17</v>
      </c>
      <c r="F35" s="6" t="s">
        <v>27</v>
      </c>
      <c r="G35" s="6" t="s">
        <v>28</v>
      </c>
      <c r="H35" s="6" t="s">
        <v>29</v>
      </c>
      <c r="I35" s="5" t="s">
        <v>21</v>
      </c>
      <c r="J35" s="7" t="s">
        <v>206</v>
      </c>
      <c r="K35" s="7" t="s">
        <v>207</v>
      </c>
      <c r="L35" s="7" t="s">
        <v>208</v>
      </c>
      <c r="M35" s="7"/>
    </row>
    <row r="36" spans="1:13" ht="27.6" x14ac:dyDescent="0.3">
      <c r="A36" s="2" t="s">
        <v>209</v>
      </c>
      <c r="B36" s="2" t="s">
        <v>210</v>
      </c>
      <c r="C36" s="3" t="s">
        <v>129</v>
      </c>
      <c r="D36" s="3" t="s">
        <v>211</v>
      </c>
      <c r="E36" s="2" t="s">
        <v>56</v>
      </c>
      <c r="F36" s="2" t="s">
        <v>57</v>
      </c>
      <c r="G36" s="2" t="s">
        <v>58</v>
      </c>
      <c r="H36" s="4" t="s">
        <v>20</v>
      </c>
      <c r="I36" s="5" t="s">
        <v>21</v>
      </c>
      <c r="J36" s="3" t="s">
        <v>212</v>
      </c>
      <c r="K36" s="3" t="s">
        <v>213</v>
      </c>
      <c r="L36" s="3" t="s">
        <v>214</v>
      </c>
      <c r="M36" s="3"/>
    </row>
    <row r="37" spans="1:13" ht="27.6" x14ac:dyDescent="0.3">
      <c r="A37" s="6" t="s">
        <v>215</v>
      </c>
      <c r="B37" s="6" t="s">
        <v>216</v>
      </c>
      <c r="C37" s="7" t="s">
        <v>217</v>
      </c>
      <c r="D37" s="7" t="s">
        <v>218</v>
      </c>
      <c r="E37" s="6" t="s">
        <v>17</v>
      </c>
      <c r="F37" s="6" t="s">
        <v>39</v>
      </c>
      <c r="G37" s="6" t="s">
        <v>40</v>
      </c>
      <c r="H37" s="6" t="s">
        <v>29</v>
      </c>
      <c r="I37" s="5" t="s">
        <v>21</v>
      </c>
      <c r="J37" s="7" t="s">
        <v>219</v>
      </c>
      <c r="K37" s="7" t="s">
        <v>220</v>
      </c>
      <c r="L37" s="7" t="s">
        <v>221</v>
      </c>
      <c r="M37" s="7"/>
    </row>
    <row r="38" spans="1:13" ht="27.6" x14ac:dyDescent="0.3">
      <c r="A38" s="2" t="s">
        <v>222</v>
      </c>
      <c r="B38" s="2" t="s">
        <v>223</v>
      </c>
      <c r="C38" s="3" t="s">
        <v>217</v>
      </c>
      <c r="D38" s="3" t="s">
        <v>224</v>
      </c>
      <c r="E38" s="2" t="s">
        <v>17</v>
      </c>
      <c r="F38" s="2" t="s">
        <v>74</v>
      </c>
      <c r="G38" s="2" t="s">
        <v>75</v>
      </c>
      <c r="H38" s="2" t="s">
        <v>29</v>
      </c>
      <c r="I38" s="5" t="s">
        <v>21</v>
      </c>
      <c r="J38" s="3" t="s">
        <v>225</v>
      </c>
      <c r="K38" s="3" t="s">
        <v>226</v>
      </c>
      <c r="L38" s="3" t="s">
        <v>227</v>
      </c>
      <c r="M38" s="3"/>
    </row>
    <row r="39" spans="1:13" ht="27.6" x14ac:dyDescent="0.3">
      <c r="A39" s="6" t="s">
        <v>228</v>
      </c>
      <c r="B39" s="6" t="s">
        <v>229</v>
      </c>
      <c r="C39" s="7" t="s">
        <v>230</v>
      </c>
      <c r="D39" s="7" t="s">
        <v>231</v>
      </c>
      <c r="E39" s="6" t="s">
        <v>17</v>
      </c>
      <c r="F39" s="6" t="s">
        <v>39</v>
      </c>
      <c r="G39" s="6" t="s">
        <v>40</v>
      </c>
      <c r="H39" s="6" t="s">
        <v>29</v>
      </c>
      <c r="I39" s="5" t="s">
        <v>21</v>
      </c>
      <c r="J39" s="7" t="s">
        <v>232</v>
      </c>
      <c r="K39" s="7" t="s">
        <v>233</v>
      </c>
      <c r="L39" s="7" t="s">
        <v>234</v>
      </c>
      <c r="M39" s="7"/>
    </row>
    <row r="40" spans="1:13" ht="27.6" x14ac:dyDescent="0.3">
      <c r="A40" s="2" t="s">
        <v>235</v>
      </c>
      <c r="B40" s="2" t="s">
        <v>236</v>
      </c>
      <c r="C40" s="3" t="s">
        <v>237</v>
      </c>
      <c r="D40" s="3" t="s">
        <v>238</v>
      </c>
      <c r="E40" s="2" t="s">
        <v>17</v>
      </c>
      <c r="F40" s="2" t="s">
        <v>74</v>
      </c>
      <c r="G40" s="2" t="s">
        <v>75</v>
      </c>
      <c r="H40" s="2" t="s">
        <v>29</v>
      </c>
      <c r="I40" s="5" t="s">
        <v>21</v>
      </c>
      <c r="J40" s="3" t="s">
        <v>239</v>
      </c>
      <c r="K40" s="3" t="s">
        <v>240</v>
      </c>
      <c r="L40" s="3" t="s">
        <v>241</v>
      </c>
      <c r="M40" s="3"/>
    </row>
    <row r="41" spans="1:13" ht="27.6" x14ac:dyDescent="0.3">
      <c r="A41" s="6" t="s">
        <v>242</v>
      </c>
      <c r="B41" s="6" t="s">
        <v>243</v>
      </c>
      <c r="C41" s="7" t="s">
        <v>135</v>
      </c>
      <c r="D41" s="7" t="s">
        <v>244</v>
      </c>
      <c r="E41" s="6" t="s">
        <v>17</v>
      </c>
      <c r="F41" s="6" t="s">
        <v>39</v>
      </c>
      <c r="G41" s="6" t="s">
        <v>40</v>
      </c>
      <c r="H41" s="8" t="s">
        <v>147</v>
      </c>
      <c r="I41" s="5" t="s">
        <v>21</v>
      </c>
      <c r="J41" s="7" t="s">
        <v>245</v>
      </c>
      <c r="K41" s="7" t="s">
        <v>246</v>
      </c>
      <c r="L41" s="7" t="s">
        <v>247</v>
      </c>
      <c r="M41" s="7"/>
    </row>
    <row r="42" spans="1:13" ht="27.6" x14ac:dyDescent="0.3">
      <c r="A42" s="2" t="s">
        <v>248</v>
      </c>
      <c r="B42" s="2" t="s">
        <v>249</v>
      </c>
      <c r="C42" s="3" t="s">
        <v>250</v>
      </c>
      <c r="D42" s="3" t="s">
        <v>251</v>
      </c>
      <c r="E42" s="2" t="s">
        <v>17</v>
      </c>
      <c r="F42" s="2" t="s">
        <v>74</v>
      </c>
      <c r="G42" s="2" t="s">
        <v>75</v>
      </c>
      <c r="H42" s="4" t="s">
        <v>20</v>
      </c>
      <c r="I42" s="5" t="s">
        <v>21</v>
      </c>
      <c r="J42" s="3" t="s">
        <v>252</v>
      </c>
      <c r="K42" s="3" t="s">
        <v>253</v>
      </c>
      <c r="L42" s="3" t="s">
        <v>254</v>
      </c>
      <c r="M42" s="3"/>
    </row>
    <row r="43" spans="1:13" ht="27.6" x14ac:dyDescent="0.3">
      <c r="A43" s="6" t="s">
        <v>255</v>
      </c>
      <c r="B43" s="6" t="s">
        <v>256</v>
      </c>
      <c r="C43" s="7" t="s">
        <v>129</v>
      </c>
      <c r="D43" s="7" t="s">
        <v>257</v>
      </c>
      <c r="E43" s="6" t="s">
        <v>56</v>
      </c>
      <c r="F43" s="6" t="s">
        <v>57</v>
      </c>
      <c r="G43" s="6" t="s">
        <v>58</v>
      </c>
      <c r="H43" s="4" t="s">
        <v>20</v>
      </c>
      <c r="I43" s="5" t="s">
        <v>21</v>
      </c>
      <c r="J43" s="7" t="s">
        <v>258</v>
      </c>
      <c r="K43" s="7" t="s">
        <v>259</v>
      </c>
      <c r="L43" s="7" t="s">
        <v>260</v>
      </c>
      <c r="M43" s="7"/>
    </row>
    <row r="44" spans="1:13" ht="27.6" x14ac:dyDescent="0.3">
      <c r="A44" s="2" t="s">
        <v>261</v>
      </c>
      <c r="B44" s="2" t="s">
        <v>262</v>
      </c>
      <c r="C44" s="3" t="s">
        <v>152</v>
      </c>
      <c r="D44" s="3" t="s">
        <v>263</v>
      </c>
      <c r="E44" s="2" t="s">
        <v>17</v>
      </c>
      <c r="F44" s="2" t="s">
        <v>74</v>
      </c>
      <c r="G44" s="2" t="s">
        <v>75</v>
      </c>
      <c r="H44" s="4" t="s">
        <v>20</v>
      </c>
      <c r="I44" s="5" t="s">
        <v>21</v>
      </c>
      <c r="J44" s="3" t="s">
        <v>264</v>
      </c>
      <c r="K44" s="3" t="s">
        <v>265</v>
      </c>
      <c r="L44" s="3" t="s">
        <v>266</v>
      </c>
      <c r="M44" s="3"/>
    </row>
    <row r="45" spans="1:13" ht="27.6" x14ac:dyDescent="0.3">
      <c r="A45" s="6" t="s">
        <v>267</v>
      </c>
      <c r="B45" s="6" t="s">
        <v>268</v>
      </c>
      <c r="C45" s="7" t="s">
        <v>152</v>
      </c>
      <c r="D45" s="7" t="s">
        <v>269</v>
      </c>
      <c r="E45" s="6" t="s">
        <v>17</v>
      </c>
      <c r="F45" s="6" t="s">
        <v>39</v>
      </c>
      <c r="G45" s="6" t="s">
        <v>40</v>
      </c>
      <c r="H45" s="4" t="s">
        <v>20</v>
      </c>
      <c r="I45" s="5" t="s">
        <v>21</v>
      </c>
      <c r="J45" s="7" t="s">
        <v>270</v>
      </c>
      <c r="K45" s="7" t="s">
        <v>271</v>
      </c>
      <c r="L45" s="7" t="s">
        <v>272</v>
      </c>
      <c r="M45" s="7"/>
    </row>
    <row r="46" spans="1:13" ht="27.6" x14ac:dyDescent="0.3">
      <c r="A46" s="2" t="s">
        <v>273</v>
      </c>
      <c r="B46" s="2" t="s">
        <v>274</v>
      </c>
      <c r="C46" s="3" t="s">
        <v>275</v>
      </c>
      <c r="D46" s="3" t="s">
        <v>276</v>
      </c>
      <c r="E46" s="2" t="s">
        <v>17</v>
      </c>
      <c r="F46" s="2" t="s">
        <v>27</v>
      </c>
      <c r="G46" s="2" t="s">
        <v>28</v>
      </c>
      <c r="H46" s="4" t="s">
        <v>20</v>
      </c>
      <c r="I46" s="5" t="s">
        <v>21</v>
      </c>
      <c r="J46" s="3" t="s">
        <v>277</v>
      </c>
      <c r="K46" s="3" t="s">
        <v>278</v>
      </c>
      <c r="L46" s="3" t="s">
        <v>279</v>
      </c>
      <c r="M46" s="3"/>
    </row>
    <row r="47" spans="1:13" ht="27.6" x14ac:dyDescent="0.3">
      <c r="A47" s="6" t="s">
        <v>280</v>
      </c>
      <c r="B47" s="6" t="s">
        <v>281</v>
      </c>
      <c r="C47" s="7" t="s">
        <v>282</v>
      </c>
      <c r="D47" s="7" t="s">
        <v>283</v>
      </c>
      <c r="E47" s="6" t="s">
        <v>17</v>
      </c>
      <c r="F47" s="6" t="s">
        <v>39</v>
      </c>
      <c r="G47" s="6" t="s">
        <v>40</v>
      </c>
      <c r="H47" s="8" t="s">
        <v>147</v>
      </c>
      <c r="I47" s="5" t="s">
        <v>21</v>
      </c>
      <c r="J47" s="7" t="s">
        <v>284</v>
      </c>
      <c r="K47" s="7" t="s">
        <v>285</v>
      </c>
      <c r="L47" s="7" t="s">
        <v>286</v>
      </c>
      <c r="M47" s="7"/>
    </row>
    <row r="48" spans="1:13" ht="27.6" x14ac:dyDescent="0.3">
      <c r="A48" s="2" t="s">
        <v>287</v>
      </c>
      <c r="B48" s="2" t="s">
        <v>288</v>
      </c>
      <c r="C48" s="3" t="s">
        <v>289</v>
      </c>
      <c r="D48" s="3" t="s">
        <v>290</v>
      </c>
      <c r="E48" s="2" t="s">
        <v>17</v>
      </c>
      <c r="F48" s="2" t="s">
        <v>74</v>
      </c>
      <c r="G48" s="2" t="s">
        <v>75</v>
      </c>
      <c r="H48" s="2" t="s">
        <v>29</v>
      </c>
      <c r="I48" s="5" t="s">
        <v>21</v>
      </c>
      <c r="J48" s="3" t="s">
        <v>291</v>
      </c>
      <c r="K48" s="3" t="s">
        <v>292</v>
      </c>
      <c r="L48" s="3" t="s">
        <v>293</v>
      </c>
      <c r="M48" s="3"/>
    </row>
    <row r="49" spans="1:13" ht="27.6" x14ac:dyDescent="0.3">
      <c r="A49" s="6" t="s">
        <v>294</v>
      </c>
      <c r="B49" s="6" t="s">
        <v>295</v>
      </c>
      <c r="C49" s="7" t="s">
        <v>296</v>
      </c>
      <c r="D49" s="7" t="s">
        <v>297</v>
      </c>
      <c r="E49" s="6" t="s">
        <v>17</v>
      </c>
      <c r="F49" s="6" t="s">
        <v>27</v>
      </c>
      <c r="G49" s="6" t="s">
        <v>28</v>
      </c>
      <c r="H49" s="6" t="s">
        <v>29</v>
      </c>
      <c r="I49" s="5" t="s">
        <v>21</v>
      </c>
      <c r="J49" s="7" t="s">
        <v>298</v>
      </c>
      <c r="K49" s="7" t="s">
        <v>299</v>
      </c>
      <c r="L49" s="7" t="s">
        <v>300</v>
      </c>
      <c r="M49" s="7"/>
    </row>
    <row r="50" spans="1:13" ht="27.6" x14ac:dyDescent="0.3">
      <c r="A50" s="2" t="s">
        <v>301</v>
      </c>
      <c r="B50" s="2" t="s">
        <v>302</v>
      </c>
      <c r="C50" s="3" t="s">
        <v>129</v>
      </c>
      <c r="D50" s="3" t="s">
        <v>303</v>
      </c>
      <c r="E50" s="2" t="s">
        <v>56</v>
      </c>
      <c r="F50" s="2" t="s">
        <v>57</v>
      </c>
      <c r="G50" s="2" t="s">
        <v>58</v>
      </c>
      <c r="H50" s="4" t="s">
        <v>20</v>
      </c>
      <c r="I50" s="5" t="s">
        <v>21</v>
      </c>
      <c r="J50" s="3" t="s">
        <v>304</v>
      </c>
      <c r="K50" s="3" t="s">
        <v>305</v>
      </c>
      <c r="L50" s="3" t="s">
        <v>306</v>
      </c>
      <c r="M50" s="3"/>
    </row>
    <row r="51" spans="1:13" ht="27.6" x14ac:dyDescent="0.3">
      <c r="A51" s="6" t="s">
        <v>307</v>
      </c>
      <c r="B51" s="6" t="s">
        <v>308</v>
      </c>
      <c r="C51" s="7" t="s">
        <v>309</v>
      </c>
      <c r="D51" s="7" t="s">
        <v>310</v>
      </c>
      <c r="E51" s="6" t="s">
        <v>17</v>
      </c>
      <c r="F51" s="6" t="s">
        <v>39</v>
      </c>
      <c r="G51" s="6" t="s">
        <v>40</v>
      </c>
      <c r="H51" s="6" t="s">
        <v>29</v>
      </c>
      <c r="I51" s="5" t="s">
        <v>21</v>
      </c>
      <c r="J51" s="7" t="s">
        <v>311</v>
      </c>
      <c r="K51" s="7" t="s">
        <v>312</v>
      </c>
      <c r="L51" s="7" t="s">
        <v>313</v>
      </c>
      <c r="M51" s="7"/>
    </row>
    <row r="52" spans="1:13" ht="27.6" x14ac:dyDescent="0.3">
      <c r="A52" s="2" t="s">
        <v>314</v>
      </c>
      <c r="B52" s="2" t="s">
        <v>315</v>
      </c>
      <c r="C52" s="3" t="s">
        <v>316</v>
      </c>
      <c r="D52" s="3" t="s">
        <v>317</v>
      </c>
      <c r="E52" s="2" t="s">
        <v>17</v>
      </c>
      <c r="F52" s="2" t="s">
        <v>27</v>
      </c>
      <c r="G52" s="2" t="s">
        <v>28</v>
      </c>
      <c r="H52" s="2" t="s">
        <v>29</v>
      </c>
      <c r="I52" s="5" t="s">
        <v>21</v>
      </c>
      <c r="J52" s="3" t="s">
        <v>318</v>
      </c>
      <c r="K52" s="3" t="s">
        <v>319</v>
      </c>
      <c r="L52" s="3" t="s">
        <v>320</v>
      </c>
      <c r="M52" s="3"/>
    </row>
    <row r="53" spans="1:13" ht="27.6" x14ac:dyDescent="0.3">
      <c r="A53" s="6" t="s">
        <v>321</v>
      </c>
      <c r="B53" s="6" t="s">
        <v>322</v>
      </c>
      <c r="C53" s="7" t="s">
        <v>323</v>
      </c>
      <c r="D53" s="7" t="s">
        <v>324</v>
      </c>
      <c r="E53" s="6" t="s">
        <v>17</v>
      </c>
      <c r="F53" s="6" t="s">
        <v>74</v>
      </c>
      <c r="G53" s="6" t="s">
        <v>75</v>
      </c>
      <c r="H53" s="4" t="s">
        <v>20</v>
      </c>
      <c r="I53" s="5" t="s">
        <v>21</v>
      </c>
      <c r="J53" s="7" t="s">
        <v>325</v>
      </c>
      <c r="K53" s="7" t="s">
        <v>326</v>
      </c>
      <c r="L53" s="7" t="s">
        <v>327</v>
      </c>
      <c r="M53" s="7"/>
    </row>
    <row r="54" spans="1:13" ht="27.6" x14ac:dyDescent="0.3">
      <c r="A54" s="2" t="s">
        <v>328</v>
      </c>
      <c r="B54" s="2" t="s">
        <v>329</v>
      </c>
      <c r="C54" s="3" t="s">
        <v>323</v>
      </c>
      <c r="D54" s="3" t="s">
        <v>330</v>
      </c>
      <c r="E54" s="2" t="s">
        <v>17</v>
      </c>
      <c r="F54" s="2" t="s">
        <v>39</v>
      </c>
      <c r="G54" s="2" t="s">
        <v>40</v>
      </c>
      <c r="H54" s="4" t="s">
        <v>20</v>
      </c>
      <c r="I54" s="5" t="s">
        <v>21</v>
      </c>
      <c r="J54" s="3" t="s">
        <v>331</v>
      </c>
      <c r="K54" s="3" t="s">
        <v>332</v>
      </c>
      <c r="L54" s="3" t="s">
        <v>333</v>
      </c>
      <c r="M54" s="3"/>
    </row>
    <row r="55" spans="1:13" ht="27.6" x14ac:dyDescent="0.3">
      <c r="A55" s="6" t="s">
        <v>334</v>
      </c>
      <c r="B55" s="6" t="s">
        <v>335</v>
      </c>
      <c r="C55" s="7" t="s">
        <v>323</v>
      </c>
      <c r="D55" s="7" t="s">
        <v>336</v>
      </c>
      <c r="E55" s="6" t="s">
        <v>17</v>
      </c>
      <c r="F55" s="6" t="s">
        <v>39</v>
      </c>
      <c r="G55" s="6" t="s">
        <v>40</v>
      </c>
      <c r="H55" s="4" t="s">
        <v>20</v>
      </c>
      <c r="I55" s="5" t="s">
        <v>21</v>
      </c>
      <c r="J55" s="7" t="s">
        <v>337</v>
      </c>
      <c r="K55" s="7" t="s">
        <v>338</v>
      </c>
      <c r="L55" s="7" t="s">
        <v>339</v>
      </c>
      <c r="M55" s="7"/>
    </row>
    <row r="56" spans="1:13" ht="27.6" x14ac:dyDescent="0.3">
      <c r="A56" s="2" t="s">
        <v>340</v>
      </c>
      <c r="B56" s="2" t="s">
        <v>341</v>
      </c>
      <c r="C56" s="3" t="s">
        <v>323</v>
      </c>
      <c r="D56" s="3" t="s">
        <v>342</v>
      </c>
      <c r="E56" s="2" t="s">
        <v>17</v>
      </c>
      <c r="F56" s="2" t="s">
        <v>39</v>
      </c>
      <c r="G56" s="2" t="s">
        <v>40</v>
      </c>
      <c r="H56" s="4" t="s">
        <v>20</v>
      </c>
      <c r="I56" s="5" t="s">
        <v>21</v>
      </c>
      <c r="J56" s="3" t="s">
        <v>343</v>
      </c>
      <c r="K56" s="3" t="s">
        <v>344</v>
      </c>
      <c r="L56" s="3" t="s">
        <v>345</v>
      </c>
      <c r="M56" s="3"/>
    </row>
    <row r="57" spans="1:13" ht="27.6" x14ac:dyDescent="0.3">
      <c r="A57" s="6" t="s">
        <v>346</v>
      </c>
      <c r="B57" s="6" t="s">
        <v>347</v>
      </c>
      <c r="C57" s="7" t="s">
        <v>129</v>
      </c>
      <c r="D57" s="7" t="s">
        <v>348</v>
      </c>
      <c r="E57" s="6" t="s">
        <v>56</v>
      </c>
      <c r="F57" s="6" t="s">
        <v>57</v>
      </c>
      <c r="G57" s="6" t="s">
        <v>58</v>
      </c>
      <c r="H57" s="4" t="s">
        <v>20</v>
      </c>
      <c r="I57" s="5" t="s">
        <v>21</v>
      </c>
      <c r="J57" s="7" t="s">
        <v>349</v>
      </c>
      <c r="K57" s="7" t="s">
        <v>350</v>
      </c>
      <c r="L57" s="7" t="s">
        <v>351</v>
      </c>
      <c r="M57" s="7"/>
    </row>
    <row r="58" spans="1:13" ht="27.6" x14ac:dyDescent="0.3">
      <c r="A58" s="2" t="s">
        <v>352</v>
      </c>
      <c r="B58" s="2" t="s">
        <v>353</v>
      </c>
      <c r="C58" s="3" t="s">
        <v>323</v>
      </c>
      <c r="D58" s="3" t="s">
        <v>354</v>
      </c>
      <c r="E58" s="2" t="s">
        <v>17</v>
      </c>
      <c r="F58" s="2" t="s">
        <v>74</v>
      </c>
      <c r="G58" s="2" t="s">
        <v>75</v>
      </c>
      <c r="H58" s="4" t="s">
        <v>20</v>
      </c>
      <c r="I58" s="5" t="s">
        <v>21</v>
      </c>
      <c r="J58" s="3" t="s">
        <v>355</v>
      </c>
      <c r="K58" s="3" t="s">
        <v>356</v>
      </c>
      <c r="L58" s="3" t="s">
        <v>357</v>
      </c>
      <c r="M58" s="3"/>
    </row>
    <row r="59" spans="1:13" ht="27.6" x14ac:dyDescent="0.3">
      <c r="A59" s="6" t="s">
        <v>358</v>
      </c>
      <c r="B59" s="6" t="s">
        <v>359</v>
      </c>
      <c r="C59" s="7" t="s">
        <v>323</v>
      </c>
      <c r="D59" s="7" t="s">
        <v>360</v>
      </c>
      <c r="E59" s="6" t="s">
        <v>17</v>
      </c>
      <c r="F59" s="6" t="s">
        <v>74</v>
      </c>
      <c r="G59" s="6" t="s">
        <v>75</v>
      </c>
      <c r="H59" s="4" t="s">
        <v>20</v>
      </c>
      <c r="I59" s="5" t="s">
        <v>21</v>
      </c>
      <c r="J59" s="7" t="s">
        <v>361</v>
      </c>
      <c r="K59" s="7" t="s">
        <v>362</v>
      </c>
      <c r="L59" s="7" t="s">
        <v>363</v>
      </c>
      <c r="M59" s="7"/>
    </row>
    <row r="60" spans="1:13" ht="27.6" x14ac:dyDescent="0.3">
      <c r="A60" s="2" t="s">
        <v>364</v>
      </c>
      <c r="B60" s="2" t="s">
        <v>365</v>
      </c>
      <c r="C60" s="3" t="s">
        <v>323</v>
      </c>
      <c r="D60" s="3" t="s">
        <v>366</v>
      </c>
      <c r="E60" s="2" t="s">
        <v>17</v>
      </c>
      <c r="F60" s="2" t="s">
        <v>57</v>
      </c>
      <c r="G60" s="2" t="s">
        <v>367</v>
      </c>
      <c r="H60" s="4" t="s">
        <v>20</v>
      </c>
      <c r="I60" s="5" t="s">
        <v>21</v>
      </c>
      <c r="J60" s="3" t="s">
        <v>368</v>
      </c>
      <c r="K60" s="3" t="s">
        <v>369</v>
      </c>
      <c r="L60" s="3" t="s">
        <v>370</v>
      </c>
      <c r="M60" s="3"/>
    </row>
    <row r="61" spans="1:13" ht="27.6" x14ac:dyDescent="0.3">
      <c r="A61" s="6" t="s">
        <v>371</v>
      </c>
      <c r="B61" s="6" t="s">
        <v>372</v>
      </c>
      <c r="C61" s="7" t="s">
        <v>373</v>
      </c>
      <c r="D61" s="7" t="s">
        <v>374</v>
      </c>
      <c r="E61" s="6" t="s">
        <v>17</v>
      </c>
      <c r="F61" s="6" t="s">
        <v>27</v>
      </c>
      <c r="G61" s="6" t="s">
        <v>28</v>
      </c>
      <c r="H61" s="8" t="s">
        <v>147</v>
      </c>
      <c r="I61" s="5" t="s">
        <v>21</v>
      </c>
      <c r="J61" s="7" t="s">
        <v>375</v>
      </c>
      <c r="K61" s="7" t="s">
        <v>376</v>
      </c>
      <c r="L61" s="7" t="s">
        <v>377</v>
      </c>
      <c r="M61" s="7"/>
    </row>
    <row r="62" spans="1:13" ht="27.6" x14ac:dyDescent="0.3">
      <c r="A62" s="2" t="s">
        <v>378</v>
      </c>
      <c r="B62" s="2" t="s">
        <v>379</v>
      </c>
      <c r="C62" s="3" t="s">
        <v>380</v>
      </c>
      <c r="D62" s="3" t="s">
        <v>381</v>
      </c>
      <c r="E62" s="2" t="s">
        <v>17</v>
      </c>
      <c r="F62" s="2" t="s">
        <v>382</v>
      </c>
      <c r="G62" s="2" t="s">
        <v>95</v>
      </c>
      <c r="H62" s="2" t="s">
        <v>29</v>
      </c>
      <c r="I62" s="5" t="s">
        <v>21</v>
      </c>
      <c r="J62" s="3" t="s">
        <v>383</v>
      </c>
      <c r="K62" s="3" t="s">
        <v>384</v>
      </c>
      <c r="L62" s="3" t="s">
        <v>385</v>
      </c>
      <c r="M62" s="3"/>
    </row>
    <row r="63" spans="1:13" ht="27.6" x14ac:dyDescent="0.3">
      <c r="A63" s="6" t="s">
        <v>386</v>
      </c>
      <c r="B63" s="6" t="s">
        <v>387</v>
      </c>
      <c r="C63" s="7" t="s">
        <v>388</v>
      </c>
      <c r="D63" s="7" t="s">
        <v>389</v>
      </c>
      <c r="E63" s="6" t="s">
        <v>56</v>
      </c>
      <c r="F63" s="6" t="s">
        <v>57</v>
      </c>
      <c r="G63" s="6" t="s">
        <v>58</v>
      </c>
      <c r="H63" s="4" t="s">
        <v>20</v>
      </c>
      <c r="I63" s="5" t="s">
        <v>21</v>
      </c>
      <c r="J63" s="7" t="s">
        <v>390</v>
      </c>
      <c r="K63" s="7" t="s">
        <v>391</v>
      </c>
      <c r="L63" s="7" t="s">
        <v>392</v>
      </c>
      <c r="M63" s="7"/>
    </row>
    <row r="64" spans="1:13" ht="27.6" x14ac:dyDescent="0.3">
      <c r="A64" s="2" t="s">
        <v>393</v>
      </c>
      <c r="B64" s="2" t="s">
        <v>394</v>
      </c>
      <c r="C64" s="3" t="s">
        <v>129</v>
      </c>
      <c r="D64" s="3" t="s">
        <v>395</v>
      </c>
      <c r="E64" s="2" t="s">
        <v>56</v>
      </c>
      <c r="F64" s="2" t="s">
        <v>94</v>
      </c>
      <c r="G64" s="2" t="s">
        <v>95</v>
      </c>
      <c r="H64" s="4" t="s">
        <v>20</v>
      </c>
      <c r="I64" s="5" t="s">
        <v>21</v>
      </c>
      <c r="J64" s="3" t="s">
        <v>396</v>
      </c>
      <c r="K64" s="3" t="s">
        <v>397</v>
      </c>
      <c r="L64" s="3" t="s">
        <v>398</v>
      </c>
      <c r="M64" s="3"/>
    </row>
    <row r="65" spans="1:13" ht="27.6" x14ac:dyDescent="0.3">
      <c r="A65" s="6" t="s">
        <v>399</v>
      </c>
      <c r="B65" s="6" t="s">
        <v>400</v>
      </c>
      <c r="C65" s="7" t="s">
        <v>401</v>
      </c>
      <c r="D65" s="7" t="s">
        <v>402</v>
      </c>
      <c r="E65" s="6" t="s">
        <v>403</v>
      </c>
      <c r="F65" s="6" t="s">
        <v>403</v>
      </c>
      <c r="G65" s="6" t="s">
        <v>58</v>
      </c>
      <c r="H65" s="4" t="s">
        <v>20</v>
      </c>
      <c r="I65" s="5" t="s">
        <v>21</v>
      </c>
      <c r="J65" s="7" t="s">
        <v>404</v>
      </c>
      <c r="K65" s="7" t="s">
        <v>405</v>
      </c>
      <c r="L65" s="7" t="s">
        <v>406</v>
      </c>
      <c r="M65" s="7"/>
    </row>
    <row r="66" spans="1:13" ht="27.6" x14ac:dyDescent="0.3">
      <c r="A66" s="2" t="s">
        <v>407</v>
      </c>
      <c r="B66" s="2" t="s">
        <v>408</v>
      </c>
      <c r="C66" s="3" t="s">
        <v>409</v>
      </c>
      <c r="D66" s="3" t="s">
        <v>410</v>
      </c>
      <c r="E66" s="2" t="s">
        <v>403</v>
      </c>
      <c r="F66" s="2" t="s">
        <v>403</v>
      </c>
      <c r="G66" s="2" t="s">
        <v>58</v>
      </c>
      <c r="H66" s="4" t="s">
        <v>20</v>
      </c>
      <c r="I66" s="5" t="s">
        <v>21</v>
      </c>
      <c r="J66" s="3" t="s">
        <v>411</v>
      </c>
      <c r="K66" s="3" t="s">
        <v>412</v>
      </c>
      <c r="L66" s="3" t="s">
        <v>413</v>
      </c>
      <c r="M66" s="3"/>
    </row>
    <row r="67" spans="1:13" ht="27.6" x14ac:dyDescent="0.3">
      <c r="A67" s="6" t="s">
        <v>414</v>
      </c>
      <c r="B67" s="6" t="s">
        <v>415</v>
      </c>
      <c r="C67" s="7" t="s">
        <v>416</v>
      </c>
      <c r="D67" s="7" t="s">
        <v>417</v>
      </c>
      <c r="E67" s="6" t="s">
        <v>403</v>
      </c>
      <c r="F67" s="6" t="s">
        <v>403</v>
      </c>
      <c r="G67" s="6" t="s">
        <v>58</v>
      </c>
      <c r="H67" s="4" t="s">
        <v>20</v>
      </c>
      <c r="I67" s="5" t="s">
        <v>21</v>
      </c>
      <c r="J67" s="7" t="s">
        <v>418</v>
      </c>
      <c r="K67" s="7" t="s">
        <v>419</v>
      </c>
      <c r="L67" s="7" t="s">
        <v>420</v>
      </c>
      <c r="M67" s="7"/>
    </row>
    <row r="68" spans="1:13" ht="27.6" x14ac:dyDescent="0.3">
      <c r="A68" s="2" t="s">
        <v>421</v>
      </c>
      <c r="B68" s="2" t="s">
        <v>422</v>
      </c>
      <c r="C68" s="3" t="s">
        <v>423</v>
      </c>
      <c r="D68" s="3" t="s">
        <v>424</v>
      </c>
      <c r="E68" s="2" t="s">
        <v>403</v>
      </c>
      <c r="F68" s="2" t="s">
        <v>403</v>
      </c>
      <c r="G68" s="2" t="s">
        <v>58</v>
      </c>
      <c r="H68" s="4" t="s">
        <v>20</v>
      </c>
      <c r="I68" s="5" t="s">
        <v>21</v>
      </c>
      <c r="J68" s="3" t="s">
        <v>425</v>
      </c>
      <c r="K68" s="3" t="s">
        <v>426</v>
      </c>
      <c r="L68" s="3" t="s">
        <v>427</v>
      </c>
      <c r="M68" s="3"/>
    </row>
    <row r="69" spans="1:13" ht="27.6" x14ac:dyDescent="0.3">
      <c r="A69" s="6" t="s">
        <v>428</v>
      </c>
      <c r="B69" s="6" t="s">
        <v>429</v>
      </c>
      <c r="C69" s="7" t="s">
        <v>430</v>
      </c>
      <c r="D69" s="7" t="s">
        <v>431</v>
      </c>
      <c r="E69" s="6" t="s">
        <v>56</v>
      </c>
      <c r="F69" s="6" t="s">
        <v>57</v>
      </c>
      <c r="G69" s="6" t="s">
        <v>58</v>
      </c>
      <c r="H69" s="4" t="s">
        <v>20</v>
      </c>
      <c r="I69" s="5" t="s">
        <v>21</v>
      </c>
      <c r="J69" s="7" t="s">
        <v>432</v>
      </c>
      <c r="K69" s="7" t="s">
        <v>433</v>
      </c>
      <c r="L69" s="7" t="s">
        <v>434</v>
      </c>
      <c r="M69" s="7"/>
    </row>
    <row r="70" spans="1:13" ht="27.6" x14ac:dyDescent="0.3">
      <c r="A70" s="2" t="s">
        <v>435</v>
      </c>
      <c r="B70" s="2" t="s">
        <v>436</v>
      </c>
      <c r="C70" s="3" t="s">
        <v>437</v>
      </c>
      <c r="D70" s="3" t="s">
        <v>438</v>
      </c>
      <c r="E70" s="2" t="s">
        <v>56</v>
      </c>
      <c r="F70" s="2" t="s">
        <v>57</v>
      </c>
      <c r="G70" s="2" t="s">
        <v>58</v>
      </c>
      <c r="H70" s="2" t="s">
        <v>29</v>
      </c>
      <c r="I70" s="5" t="s">
        <v>21</v>
      </c>
      <c r="J70" s="3" t="s">
        <v>439</v>
      </c>
      <c r="K70" s="3" t="s">
        <v>440</v>
      </c>
      <c r="L70" s="3" t="s">
        <v>441</v>
      </c>
      <c r="M70" s="3"/>
    </row>
    <row r="71" spans="1:13" ht="27.6" x14ac:dyDescent="0.3">
      <c r="A71" s="6" t="s">
        <v>442</v>
      </c>
      <c r="B71" s="6" t="s">
        <v>443</v>
      </c>
      <c r="C71" s="7" t="s">
        <v>129</v>
      </c>
      <c r="D71" s="7" t="s">
        <v>444</v>
      </c>
      <c r="E71" s="6" t="s">
        <v>56</v>
      </c>
      <c r="F71" s="6" t="s">
        <v>58</v>
      </c>
      <c r="G71" s="6" t="s">
        <v>367</v>
      </c>
      <c r="H71" s="4" t="s">
        <v>20</v>
      </c>
      <c r="I71" s="5" t="s">
        <v>21</v>
      </c>
      <c r="J71" s="7" t="s">
        <v>445</v>
      </c>
      <c r="K71" s="7" t="s">
        <v>446</v>
      </c>
      <c r="L71" s="7" t="s">
        <v>447</v>
      </c>
      <c r="M71" s="7"/>
    </row>
    <row r="72" spans="1:13" ht="27.6" x14ac:dyDescent="0.3">
      <c r="A72" s="2" t="s">
        <v>448</v>
      </c>
      <c r="B72" s="2" t="s">
        <v>449</v>
      </c>
      <c r="C72" s="3" t="s">
        <v>450</v>
      </c>
      <c r="D72" s="3" t="s">
        <v>451</v>
      </c>
      <c r="E72" s="2" t="s">
        <v>56</v>
      </c>
      <c r="F72" s="2" t="s">
        <v>57</v>
      </c>
      <c r="G72" s="2" t="s">
        <v>58</v>
      </c>
      <c r="H72" s="4" t="s">
        <v>20</v>
      </c>
      <c r="I72" s="5" t="s">
        <v>21</v>
      </c>
      <c r="J72" s="3" t="s">
        <v>452</v>
      </c>
      <c r="K72" s="3" t="s">
        <v>453</v>
      </c>
      <c r="L72" s="3" t="s">
        <v>454</v>
      </c>
      <c r="M72" s="3"/>
    </row>
    <row r="73" spans="1:13" ht="27.6" x14ac:dyDescent="0.3">
      <c r="A73" s="6" t="s">
        <v>455</v>
      </c>
      <c r="B73" s="6" t="s">
        <v>456</v>
      </c>
      <c r="C73" s="7" t="s">
        <v>457</v>
      </c>
      <c r="D73" s="7" t="s">
        <v>458</v>
      </c>
      <c r="E73" s="6" t="s">
        <v>56</v>
      </c>
      <c r="F73" s="6" t="s">
        <v>57</v>
      </c>
      <c r="G73" s="6" t="s">
        <v>58</v>
      </c>
      <c r="H73" s="4" t="s">
        <v>20</v>
      </c>
      <c r="I73" s="5" t="s">
        <v>21</v>
      </c>
      <c r="J73" s="7" t="s">
        <v>459</v>
      </c>
      <c r="K73" s="7" t="s">
        <v>460</v>
      </c>
      <c r="L73" s="7" t="s">
        <v>461</v>
      </c>
      <c r="M73" s="7"/>
    </row>
    <row r="74" spans="1:13" ht="27.6" x14ac:dyDescent="0.3">
      <c r="A74" s="2" t="s">
        <v>462</v>
      </c>
      <c r="B74" s="2" t="s">
        <v>463</v>
      </c>
      <c r="C74" s="3" t="s">
        <v>464</v>
      </c>
      <c r="D74" s="3" t="s">
        <v>465</v>
      </c>
      <c r="E74" s="2" t="s">
        <v>56</v>
      </c>
      <c r="F74" s="2" t="s">
        <v>57</v>
      </c>
      <c r="G74" s="2" t="s">
        <v>58</v>
      </c>
      <c r="H74" s="4" t="s">
        <v>20</v>
      </c>
      <c r="I74" s="5" t="s">
        <v>21</v>
      </c>
      <c r="J74" s="3" t="s">
        <v>466</v>
      </c>
      <c r="K74" s="3" t="s">
        <v>467</v>
      </c>
      <c r="L74" s="3" t="s">
        <v>468</v>
      </c>
      <c r="M74" s="3"/>
    </row>
    <row r="75" spans="1:13" ht="27.6" x14ac:dyDescent="0.3">
      <c r="A75" s="6" t="s">
        <v>469</v>
      </c>
      <c r="B75" s="6" t="s">
        <v>470</v>
      </c>
      <c r="C75" s="7" t="s">
        <v>471</v>
      </c>
      <c r="D75" s="7" t="s">
        <v>472</v>
      </c>
      <c r="E75" s="6" t="s">
        <v>56</v>
      </c>
      <c r="F75" s="6" t="s">
        <v>57</v>
      </c>
      <c r="G75" s="6" t="s">
        <v>58</v>
      </c>
      <c r="H75" s="4" t="s">
        <v>20</v>
      </c>
      <c r="I75" s="5" t="s">
        <v>21</v>
      </c>
      <c r="J75" s="7" t="s">
        <v>473</v>
      </c>
      <c r="K75" s="7" t="s">
        <v>474</v>
      </c>
      <c r="L75" s="7" t="s">
        <v>475</v>
      </c>
      <c r="M75" s="7"/>
    </row>
    <row r="76" spans="1:13" ht="27.6" x14ac:dyDescent="0.3">
      <c r="A76" s="2" t="s">
        <v>476</v>
      </c>
      <c r="B76" s="2" t="s">
        <v>477</v>
      </c>
      <c r="C76" s="3" t="s">
        <v>478</v>
      </c>
      <c r="D76" s="3" t="s">
        <v>479</v>
      </c>
      <c r="E76" s="2" t="s">
        <v>56</v>
      </c>
      <c r="F76" s="2" t="s">
        <v>27</v>
      </c>
      <c r="G76" s="2" t="s">
        <v>480</v>
      </c>
      <c r="H76" s="2" t="s">
        <v>29</v>
      </c>
      <c r="I76" s="5" t="s">
        <v>21</v>
      </c>
      <c r="J76" s="3" t="s">
        <v>481</v>
      </c>
      <c r="K76" s="3" t="s">
        <v>482</v>
      </c>
      <c r="L76" s="3" t="s">
        <v>483</v>
      </c>
      <c r="M76" s="3"/>
    </row>
    <row r="77" spans="1:13" ht="27.6" x14ac:dyDescent="0.3">
      <c r="A77" s="6" t="s">
        <v>484</v>
      </c>
      <c r="B77" s="6" t="s">
        <v>485</v>
      </c>
      <c r="C77" s="7" t="s">
        <v>486</v>
      </c>
      <c r="D77" s="7" t="s">
        <v>487</v>
      </c>
      <c r="E77" s="6" t="s">
        <v>56</v>
      </c>
      <c r="F77" s="6" t="s">
        <v>57</v>
      </c>
      <c r="G77" s="6" t="s">
        <v>58</v>
      </c>
      <c r="H77" s="4" t="s">
        <v>20</v>
      </c>
      <c r="I77" s="5" t="s">
        <v>21</v>
      </c>
      <c r="J77" s="7" t="s">
        <v>488</v>
      </c>
      <c r="K77" s="7" t="s">
        <v>489</v>
      </c>
      <c r="L77" s="7" t="s">
        <v>490</v>
      </c>
      <c r="M77" s="7"/>
    </row>
    <row r="78" spans="1:13" ht="27.6" x14ac:dyDescent="0.3">
      <c r="A78" s="2" t="s">
        <v>491</v>
      </c>
      <c r="B78" s="2" t="s">
        <v>492</v>
      </c>
      <c r="C78" s="3" t="s">
        <v>129</v>
      </c>
      <c r="D78" s="3" t="s">
        <v>493</v>
      </c>
      <c r="E78" s="2" t="s">
        <v>56</v>
      </c>
      <c r="F78" s="2" t="s">
        <v>58</v>
      </c>
      <c r="G78" s="2" t="s">
        <v>367</v>
      </c>
      <c r="H78" s="4" t="s">
        <v>20</v>
      </c>
      <c r="I78" s="5" t="s">
        <v>21</v>
      </c>
      <c r="J78" s="3" t="s">
        <v>494</v>
      </c>
      <c r="K78" s="3" t="s">
        <v>495</v>
      </c>
      <c r="L78" s="3" t="s">
        <v>496</v>
      </c>
      <c r="M78" s="3"/>
    </row>
    <row r="79" spans="1:13" ht="27.6" x14ac:dyDescent="0.3">
      <c r="A79" s="6" t="s">
        <v>497</v>
      </c>
      <c r="B79" s="6" t="s">
        <v>498</v>
      </c>
      <c r="C79" s="7" t="s">
        <v>499</v>
      </c>
      <c r="D79" s="7" t="s">
        <v>500</v>
      </c>
      <c r="E79" s="6" t="s">
        <v>403</v>
      </c>
      <c r="F79" s="6" t="s">
        <v>403</v>
      </c>
      <c r="G79" s="6" t="s">
        <v>58</v>
      </c>
      <c r="H79" s="4" t="s">
        <v>20</v>
      </c>
      <c r="I79" s="5" t="s">
        <v>21</v>
      </c>
      <c r="J79" s="7" t="s">
        <v>501</v>
      </c>
      <c r="K79" s="7" t="s">
        <v>502</v>
      </c>
      <c r="L79" s="7" t="s">
        <v>503</v>
      </c>
      <c r="M79" s="7"/>
    </row>
    <row r="80" spans="1:13" ht="27.6" x14ac:dyDescent="0.3">
      <c r="A80" s="2" t="s">
        <v>504</v>
      </c>
      <c r="B80" s="2" t="s">
        <v>505</v>
      </c>
      <c r="C80" s="3" t="s">
        <v>506</v>
      </c>
      <c r="D80" s="3" t="s">
        <v>507</v>
      </c>
      <c r="E80" s="2" t="s">
        <v>403</v>
      </c>
      <c r="F80" s="2" t="s">
        <v>403</v>
      </c>
      <c r="G80" s="2" t="s">
        <v>58</v>
      </c>
      <c r="H80" s="4" t="s">
        <v>20</v>
      </c>
      <c r="I80" s="5" t="s">
        <v>21</v>
      </c>
      <c r="J80" s="3" t="s">
        <v>508</v>
      </c>
      <c r="K80" s="3" t="s">
        <v>509</v>
      </c>
      <c r="L80" s="3" t="s">
        <v>510</v>
      </c>
      <c r="M80" s="3"/>
    </row>
    <row r="81" spans="1:13" ht="27.6" x14ac:dyDescent="0.3">
      <c r="A81" s="6" t="s">
        <v>511</v>
      </c>
      <c r="B81" s="6" t="s">
        <v>512</v>
      </c>
      <c r="C81" s="7" t="s">
        <v>513</v>
      </c>
      <c r="D81" s="7" t="s">
        <v>514</v>
      </c>
      <c r="E81" s="6" t="s">
        <v>17</v>
      </c>
      <c r="F81" s="6" t="s">
        <v>515</v>
      </c>
      <c r="G81" s="6" t="s">
        <v>58</v>
      </c>
      <c r="H81" s="4" t="s">
        <v>20</v>
      </c>
      <c r="I81" s="5" t="s">
        <v>21</v>
      </c>
      <c r="J81" s="7" t="s">
        <v>516</v>
      </c>
      <c r="K81" s="7" t="s">
        <v>517</v>
      </c>
      <c r="L81" s="7" t="s">
        <v>518</v>
      </c>
      <c r="M81" s="7"/>
    </row>
    <row r="82" spans="1:13" ht="27.6" x14ac:dyDescent="0.3">
      <c r="A82" s="2" t="s">
        <v>519</v>
      </c>
      <c r="B82" s="2" t="s">
        <v>520</v>
      </c>
      <c r="C82" s="3" t="s">
        <v>521</v>
      </c>
      <c r="D82" s="3" t="s">
        <v>522</v>
      </c>
      <c r="E82" s="2" t="s">
        <v>17</v>
      </c>
      <c r="F82" s="2" t="s">
        <v>515</v>
      </c>
      <c r="G82" s="2" t="s">
        <v>58</v>
      </c>
      <c r="H82" s="4" t="s">
        <v>20</v>
      </c>
      <c r="I82" s="5" t="s">
        <v>21</v>
      </c>
      <c r="J82" s="3" t="s">
        <v>523</v>
      </c>
      <c r="K82" s="3" t="s">
        <v>524</v>
      </c>
      <c r="L82" s="3" t="s">
        <v>525</v>
      </c>
      <c r="M82" s="3"/>
    </row>
    <row r="83" spans="1:13" ht="27.6" x14ac:dyDescent="0.3">
      <c r="A83" s="6" t="s">
        <v>526</v>
      </c>
      <c r="B83" s="6" t="s">
        <v>527</v>
      </c>
      <c r="C83" s="7" t="s">
        <v>528</v>
      </c>
      <c r="D83" s="7" t="s">
        <v>529</v>
      </c>
      <c r="E83" s="6" t="s">
        <v>17</v>
      </c>
      <c r="F83" s="6" t="s">
        <v>515</v>
      </c>
      <c r="G83" s="6" t="s">
        <v>58</v>
      </c>
      <c r="H83" s="4" t="s">
        <v>20</v>
      </c>
      <c r="I83" s="5" t="s">
        <v>21</v>
      </c>
      <c r="J83" s="7" t="s">
        <v>530</v>
      </c>
      <c r="K83" s="7" t="s">
        <v>531</v>
      </c>
      <c r="L83" s="7" t="s">
        <v>532</v>
      </c>
      <c r="M83" s="7"/>
    </row>
    <row r="84" spans="1:13" ht="27.6" x14ac:dyDescent="0.3">
      <c r="A84" s="2" t="s">
        <v>533</v>
      </c>
      <c r="B84" s="2" t="s">
        <v>534</v>
      </c>
      <c r="C84" s="3" t="s">
        <v>535</v>
      </c>
      <c r="D84" s="3" t="s">
        <v>536</v>
      </c>
      <c r="E84" s="2" t="s">
        <v>17</v>
      </c>
      <c r="F84" s="2" t="s">
        <v>515</v>
      </c>
      <c r="G84" s="2" t="s">
        <v>58</v>
      </c>
      <c r="H84" s="4" t="s">
        <v>20</v>
      </c>
      <c r="I84" s="5" t="s">
        <v>21</v>
      </c>
      <c r="J84" s="3" t="s">
        <v>537</v>
      </c>
      <c r="K84" s="3" t="s">
        <v>538</v>
      </c>
      <c r="L84" s="3" t="s">
        <v>539</v>
      </c>
      <c r="M84" s="3"/>
    </row>
    <row r="85" spans="1:13" ht="27.6" x14ac:dyDescent="0.3">
      <c r="A85" s="6" t="s">
        <v>540</v>
      </c>
      <c r="B85" s="6" t="s">
        <v>541</v>
      </c>
      <c r="C85" s="7" t="s">
        <v>129</v>
      </c>
      <c r="D85" s="7" t="s">
        <v>542</v>
      </c>
      <c r="E85" s="6" t="s">
        <v>56</v>
      </c>
      <c r="F85" s="6" t="s">
        <v>58</v>
      </c>
      <c r="G85" s="6" t="s">
        <v>367</v>
      </c>
      <c r="H85" s="4" t="s">
        <v>20</v>
      </c>
      <c r="I85" s="5" t="s">
        <v>21</v>
      </c>
      <c r="J85" s="7" t="s">
        <v>543</v>
      </c>
      <c r="K85" s="7" t="s">
        <v>544</v>
      </c>
      <c r="L85" s="7" t="s">
        <v>545</v>
      </c>
      <c r="M85" s="7"/>
    </row>
    <row r="86" spans="1:13" ht="27.6" x14ac:dyDescent="0.3">
      <c r="A86" s="2" t="s">
        <v>546</v>
      </c>
      <c r="B86" s="2" t="s">
        <v>547</v>
      </c>
      <c r="C86" s="3" t="s">
        <v>548</v>
      </c>
      <c r="D86" s="3" t="s">
        <v>549</v>
      </c>
      <c r="E86" s="2" t="s">
        <v>403</v>
      </c>
      <c r="F86" s="2" t="s">
        <v>403</v>
      </c>
      <c r="G86" s="2" t="s">
        <v>58</v>
      </c>
      <c r="H86" s="4" t="s">
        <v>20</v>
      </c>
      <c r="I86" s="5" t="s">
        <v>21</v>
      </c>
      <c r="J86" s="3" t="s">
        <v>550</v>
      </c>
      <c r="K86" s="3" t="s">
        <v>551</v>
      </c>
      <c r="L86" s="3" t="s">
        <v>552</v>
      </c>
      <c r="M86" s="3"/>
    </row>
    <row r="87" spans="1:13" ht="27.6" x14ac:dyDescent="0.3">
      <c r="A87" s="6" t="s">
        <v>553</v>
      </c>
      <c r="B87" s="6" t="s">
        <v>554</v>
      </c>
      <c r="C87" s="7" t="s">
        <v>555</v>
      </c>
      <c r="D87" s="7" t="s">
        <v>556</v>
      </c>
      <c r="E87" s="6" t="s">
        <v>403</v>
      </c>
      <c r="F87" s="6" t="s">
        <v>403</v>
      </c>
      <c r="G87" s="6" t="s">
        <v>58</v>
      </c>
      <c r="H87" s="4" t="s">
        <v>20</v>
      </c>
      <c r="I87" s="5" t="s">
        <v>21</v>
      </c>
      <c r="J87" s="7" t="s">
        <v>557</v>
      </c>
      <c r="K87" s="7" t="s">
        <v>558</v>
      </c>
      <c r="L87" s="7" t="s">
        <v>559</v>
      </c>
      <c r="M87" s="7"/>
    </row>
    <row r="88" spans="1:13" ht="27.6" x14ac:dyDescent="0.3">
      <c r="A88" s="2" t="s">
        <v>560</v>
      </c>
      <c r="B88" s="2" t="s">
        <v>561</v>
      </c>
      <c r="C88" s="3" t="s">
        <v>562</v>
      </c>
      <c r="D88" s="3" t="s">
        <v>563</v>
      </c>
      <c r="E88" s="2" t="s">
        <v>17</v>
      </c>
      <c r="F88" s="2" t="s">
        <v>515</v>
      </c>
      <c r="G88" s="2" t="s">
        <v>58</v>
      </c>
      <c r="H88" s="4" t="s">
        <v>20</v>
      </c>
      <c r="I88" s="5" t="s">
        <v>21</v>
      </c>
      <c r="J88" s="3" t="s">
        <v>564</v>
      </c>
      <c r="K88" s="3" t="s">
        <v>565</v>
      </c>
      <c r="L88" s="3" t="s">
        <v>566</v>
      </c>
      <c r="M88" s="3"/>
    </row>
    <row r="89" spans="1:13" ht="27.6" x14ac:dyDescent="0.3">
      <c r="A89" s="6" t="s">
        <v>567</v>
      </c>
      <c r="B89" s="6" t="s">
        <v>568</v>
      </c>
      <c r="C89" s="7" t="s">
        <v>569</v>
      </c>
      <c r="D89" s="7" t="s">
        <v>570</v>
      </c>
      <c r="E89" s="6" t="s">
        <v>403</v>
      </c>
      <c r="F89" s="6" t="s">
        <v>403</v>
      </c>
      <c r="G89" s="6" t="s">
        <v>58</v>
      </c>
      <c r="H89" s="4" t="s">
        <v>20</v>
      </c>
      <c r="I89" s="5" t="s">
        <v>21</v>
      </c>
      <c r="J89" s="7" t="s">
        <v>571</v>
      </c>
      <c r="K89" s="7" t="s">
        <v>572</v>
      </c>
      <c r="L89" s="7" t="s">
        <v>573</v>
      </c>
      <c r="M89" s="7"/>
    </row>
    <row r="90" spans="1:13" ht="27.6" x14ac:dyDescent="0.3">
      <c r="A90" s="2" t="s">
        <v>574</v>
      </c>
      <c r="B90" s="2" t="s">
        <v>575</v>
      </c>
      <c r="C90" s="3" t="s">
        <v>576</v>
      </c>
      <c r="D90" s="3" t="s">
        <v>577</v>
      </c>
      <c r="E90" s="2" t="s">
        <v>578</v>
      </c>
      <c r="F90" s="2" t="s">
        <v>578</v>
      </c>
      <c r="G90" s="2" t="s">
        <v>578</v>
      </c>
      <c r="H90" s="2" t="s">
        <v>579</v>
      </c>
      <c r="I90" s="5" t="s">
        <v>21</v>
      </c>
      <c r="J90" s="3" t="s">
        <v>580</v>
      </c>
      <c r="K90" s="3" t="s">
        <v>581</v>
      </c>
      <c r="L90" s="3" t="s">
        <v>582</v>
      </c>
      <c r="M90" s="3"/>
    </row>
    <row r="91" spans="1:13" ht="27.6" x14ac:dyDescent="0.3">
      <c r="A91" s="6" t="s">
        <v>583</v>
      </c>
      <c r="B91" s="6" t="s">
        <v>584</v>
      </c>
      <c r="C91" s="7" t="s">
        <v>585</v>
      </c>
      <c r="D91" s="7" t="s">
        <v>586</v>
      </c>
      <c r="E91" s="6" t="s">
        <v>578</v>
      </c>
      <c r="F91" s="6" t="s">
        <v>578</v>
      </c>
      <c r="G91" s="6" t="s">
        <v>578</v>
      </c>
      <c r="H91" s="6" t="s">
        <v>579</v>
      </c>
      <c r="I91" s="5" t="s">
        <v>21</v>
      </c>
      <c r="J91" s="7" t="s">
        <v>587</v>
      </c>
      <c r="K91" s="7" t="s">
        <v>588</v>
      </c>
      <c r="L91" s="7" t="s">
        <v>589</v>
      </c>
      <c r="M91" s="7"/>
    </row>
  </sheetData>
  <dataValidations count="1">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xr:uid="{00000000-0002-0000-0000-000000000000}">
      <formula1>"Pendente,Em Andamento,Concluído"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pane ySplit="3" topLeftCell="A4" activePane="bottomLeft" state="frozen"/>
      <selection pane="bottomLeft"/>
    </sheetView>
  </sheetViews>
  <sheetFormatPr defaultRowHeight="14.4" x14ac:dyDescent="0.3"/>
  <cols>
    <col min="1" max="1" width="28" customWidth="1"/>
    <col min="2" max="2" width="14" customWidth="1"/>
    <col min="3" max="3" width="16" customWidth="1"/>
    <col min="4" max="4" width="45" customWidth="1"/>
    <col min="5" max="7" width="20" customWidth="1"/>
  </cols>
  <sheetData>
    <row r="1" spans="1:7" ht="18" x14ac:dyDescent="0.3">
      <c r="A1" s="19" t="s">
        <v>590</v>
      </c>
      <c r="B1" s="20"/>
      <c r="C1" s="20"/>
      <c r="D1" s="20"/>
      <c r="E1" s="20"/>
      <c r="F1" s="20"/>
      <c r="G1" s="20"/>
    </row>
    <row r="3" spans="1:7" x14ac:dyDescent="0.3">
      <c r="A3" s="21" t="s">
        <v>591</v>
      </c>
      <c r="B3" s="20"/>
      <c r="C3" s="20"/>
      <c r="D3" s="20"/>
      <c r="E3" s="20"/>
      <c r="F3" s="20"/>
      <c r="G3" s="20"/>
    </row>
    <row r="4" spans="1:7" x14ac:dyDescent="0.3">
      <c r="A4" s="9" t="s">
        <v>592</v>
      </c>
      <c r="B4" s="9" t="s">
        <v>593</v>
      </c>
      <c r="C4" s="9" t="s">
        <v>594</v>
      </c>
      <c r="D4" s="9" t="s">
        <v>595</v>
      </c>
      <c r="E4" s="9" t="s">
        <v>596</v>
      </c>
      <c r="F4" s="9" t="s">
        <v>597</v>
      </c>
    </row>
    <row r="5" spans="1:7" x14ac:dyDescent="0.3">
      <c r="A5" s="10">
        <f>COUNTA('Cronograma 90 Dias (Intensivo)'!A2:A91)</f>
        <v>90</v>
      </c>
      <c r="B5" s="10">
        <f>COUNTIF('Cronograma 90 Dias (Intensivo)'!I2:I91, "Concluído")</f>
        <v>0</v>
      </c>
      <c r="C5" s="10">
        <f>COUNTIF('Cronograma 90 Dias (Intensivo)'!I2:I91, "Pendente") + COUNTIF('Cronograma 90 Dias (Intensivo)'!I2:I91, "Em Andamento")</f>
        <v>90</v>
      </c>
      <c r="D5" s="11">
        <f>B5/A5</f>
        <v>0</v>
      </c>
      <c r="E5" s="10" t="s">
        <v>28</v>
      </c>
      <c r="F5" s="10" t="s">
        <v>584</v>
      </c>
    </row>
    <row r="7" spans="1:7" x14ac:dyDescent="0.3">
      <c r="A7" s="21" t="s">
        <v>598</v>
      </c>
      <c r="B7" s="20"/>
      <c r="C7" s="20"/>
      <c r="D7" s="20"/>
      <c r="E7" s="20"/>
      <c r="F7" s="20"/>
      <c r="G7" s="20"/>
    </row>
    <row r="8" spans="1:7" ht="24" customHeight="1" x14ac:dyDescent="0.3">
      <c r="A8" s="12" t="s">
        <v>599</v>
      </c>
      <c r="B8" s="12" t="s">
        <v>600</v>
      </c>
      <c r="C8" s="12" t="s">
        <v>601</v>
      </c>
      <c r="D8" s="12" t="s">
        <v>602</v>
      </c>
      <c r="E8" s="22" t="s">
        <v>603</v>
      </c>
      <c r="F8" s="23"/>
      <c r="G8" s="23"/>
    </row>
    <row r="9" spans="1:7" x14ac:dyDescent="0.3">
      <c r="A9" s="13" t="s">
        <v>275</v>
      </c>
      <c r="B9" s="14" t="s">
        <v>604</v>
      </c>
      <c r="C9" s="15" t="s">
        <v>605</v>
      </c>
      <c r="D9" s="16" t="s">
        <v>606</v>
      </c>
      <c r="E9" s="18" t="s">
        <v>607</v>
      </c>
      <c r="F9" s="18"/>
      <c r="G9" s="18"/>
    </row>
    <row r="10" spans="1:7" x14ac:dyDescent="0.3">
      <c r="A10" s="13" t="s">
        <v>608</v>
      </c>
      <c r="B10" s="14" t="s">
        <v>609</v>
      </c>
      <c r="C10" s="15" t="s">
        <v>605</v>
      </c>
      <c r="D10" s="16" t="s">
        <v>610</v>
      </c>
      <c r="E10" s="18" t="s">
        <v>611</v>
      </c>
      <c r="F10" s="18"/>
      <c r="G10" s="18"/>
    </row>
    <row r="11" spans="1:7" x14ac:dyDescent="0.3">
      <c r="A11" s="13" t="s">
        <v>15</v>
      </c>
      <c r="B11" s="14" t="s">
        <v>612</v>
      </c>
      <c r="C11" s="15" t="s">
        <v>605</v>
      </c>
      <c r="D11" s="16" t="s">
        <v>613</v>
      </c>
      <c r="E11" s="18" t="s">
        <v>614</v>
      </c>
      <c r="F11" s="18"/>
      <c r="G11" s="18"/>
    </row>
    <row r="12" spans="1:7" x14ac:dyDescent="0.3">
      <c r="A12" s="13" t="s">
        <v>135</v>
      </c>
      <c r="B12" s="14" t="s">
        <v>615</v>
      </c>
      <c r="C12" s="17" t="s">
        <v>616</v>
      </c>
      <c r="D12" s="16" t="s">
        <v>617</v>
      </c>
      <c r="E12" s="18" t="s">
        <v>618</v>
      </c>
      <c r="F12" s="18"/>
      <c r="G12" s="18"/>
    </row>
    <row r="13" spans="1:7" x14ac:dyDescent="0.3">
      <c r="A13" s="13" t="s">
        <v>179</v>
      </c>
      <c r="B13" s="14" t="s">
        <v>615</v>
      </c>
      <c r="C13" s="17" t="s">
        <v>616</v>
      </c>
      <c r="D13" s="16" t="s">
        <v>619</v>
      </c>
      <c r="E13" s="18" t="s">
        <v>620</v>
      </c>
      <c r="F13" s="18"/>
      <c r="G13" s="18"/>
    </row>
    <row r="14" spans="1:7" x14ac:dyDescent="0.3">
      <c r="A14" s="13" t="s">
        <v>32</v>
      </c>
      <c r="B14" s="14" t="s">
        <v>621</v>
      </c>
      <c r="C14" s="17" t="s">
        <v>622</v>
      </c>
      <c r="D14" s="16" t="s">
        <v>623</v>
      </c>
      <c r="E14" s="18" t="s">
        <v>624</v>
      </c>
      <c r="F14" s="18"/>
      <c r="G14" s="18"/>
    </row>
    <row r="15" spans="1:7" x14ac:dyDescent="0.3">
      <c r="A15" s="13" t="s">
        <v>625</v>
      </c>
      <c r="B15" s="14" t="s">
        <v>621</v>
      </c>
      <c r="C15" s="17" t="s">
        <v>622</v>
      </c>
      <c r="D15" s="16" t="s">
        <v>626</v>
      </c>
      <c r="E15" s="18" t="s">
        <v>627</v>
      </c>
      <c r="F15" s="18"/>
      <c r="G15" s="18"/>
    </row>
  </sheetData>
  <mergeCells count="11">
    <mergeCell ref="E15:G15"/>
    <mergeCell ref="E10:G10"/>
    <mergeCell ref="A1:G1"/>
    <mergeCell ref="E13:G13"/>
    <mergeCell ref="E11:G11"/>
    <mergeCell ref="E14:G14"/>
    <mergeCell ref="A3:G3"/>
    <mergeCell ref="E8:G8"/>
    <mergeCell ref="E9:G9"/>
    <mergeCell ref="E12:G12"/>
    <mergeCell ref="A7:G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Cronograma 90 Dias (Intensivo)</vt:lpstr>
      <vt:lpstr>Painel &amp; Raio-X TRT-4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Adriane Viegas Martinez  Cardoso</cp:lastModifiedBy>
  <dcterms:created xsi:type="dcterms:W3CDTF">2026-09-29T14:33:08Z</dcterms:created>
  <dcterms:modified xsi:type="dcterms:W3CDTF">2026-10-27T12:49:17Z</dcterms:modified>
</cp:coreProperties>
</file>